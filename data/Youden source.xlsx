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ungeltd-my.sharepoint.com/personal/griffin_mensah_bunge_com/Documents/Desktop/Tableau data sources/"/>
    </mc:Choice>
  </mc:AlternateContent>
  <xr:revisionPtr revIDLastSave="36" documentId="8_{742E8CA4-BA8A-4B28-ADE3-8A553B128FFB}" xr6:coauthVersionLast="47" xr6:coauthVersionMax="47" xr10:uidLastSave="{6A7A7DD8-3CBF-443C-A561-178FDDC6C0E9}"/>
  <bookViews>
    <workbookView xWindow="-110" yWindow="-110" windowWidth="19420" windowHeight="11500" firstSheet="4" activeTab="4" xr2:uid="{624C2B58-E8EF-4F1F-9231-71AFD706C4BE}"/>
  </bookViews>
  <sheets>
    <sheet name="Oil content" sheetId="1" r:id="rId1"/>
    <sheet name="FFA in shea kernels" sheetId="2" r:id="rId2"/>
    <sheet name="M&amp;V in shea kernels" sheetId="3" r:id="rId3"/>
    <sheet name="FFA(CSB)_Youden Plot Points" sheetId="4" r:id="rId4"/>
    <sheet name="M&amp;V(CSB)_Youden Plot Points" sheetId="5" r:id="rId5"/>
    <sheet name="Imp(CSB)_Youden Plot Points" sheetId="6" r:id="rId6"/>
  </sheets>
  <externalReferences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hcrit1loweroilshn">_xlfn._xlws.FILTER('[1]Oil(SHN)_Data Sheet'!$D$30:$Y$30,ISNUMBER('[1]Oil(SHN)_Data Sheet'!$D$30:$Y$30))</definedName>
    <definedName name="hcrit1upperoilshn">_xlfn._xlws.FILTER('[1]Oil(SHN)_Data Sheet'!$D$29:$Y$29,ISNUMBER('[1]Oil(SHN)_Data Sheet'!$D$29:$Y$29))</definedName>
    <definedName name="hcrit5loweroilshn">_xlfn._xlws.FILTER('[1]Oil(SHN)_Data Sheet'!$D$28:$Y$28,ISNUMBER('[1]Oil(SHN)_Data Sheet'!$D$28:$Y$28))</definedName>
    <definedName name="hcrit5upperoilshn">_xlfn._xlws.FILTER('[1]Oil(SHN)_Data Sheet'!$D$27:$Y$27,ISNUMBER('[1]Oil(SHN)_Data Sheet'!$D$27:$Y$27))</definedName>
    <definedName name="hvalueffacsb1">_xlfn._xlws.FILTER('[1]FFA(CSB)_Data Sheet'!$E$53:$Z$53,ISNUMBER('[1]FFA(CSB)_Data Sheet'!$E$53:$Z$53))</definedName>
    <definedName name="hvalueffashn1">_xlfn._xlws.FILTER('[1]FFA(SHN)_Data Sheet'!$E$53:$Z$53,ISNUMBER('[1]FFA(SHN)_Data Sheet'!$E$53:$Z$53))</definedName>
    <definedName name="hvalueImpcsb1">_xlfn._xlws.FILTER('[1]Imp(CSB)_Data Sheet'!$E$53:$Z$53,ISNUMBER('[1]Imp(CSB)_Data Sheet'!$E$53:$Z$53))</definedName>
    <definedName name="hvaluemvcsb1">_xlfn._xlws.FILTER('[1]M&amp;V(CSB)_Data Sheet'!$E$53:$Z$53,ISNUMBER('[1]M&amp;V(CSB)_Data Sheet'!$E$53:$Z$53))</definedName>
    <definedName name="hvaluemvshn1">_xlfn._xlws.FILTER('[1]Moist(SHN)_Data Sheet'!$E$53:$Z$53,ISNUMBER('[1]Moist(SHN)_Data Sheet'!$E$53:$Z$53))</definedName>
    <definedName name="hvalueoilshn">_xlfn._xlws.FILTER('[1]Oil(SHN)_Data Sheet'!$D$26:$Y$26,ISNUMBER('[1]Oil(SHN)_Data Sheet'!$D$26:$Y$26))</definedName>
    <definedName name="hvalueoilshn1">_xlfn._xlws.FILTER('[1]Oil(SHN)_Data Sheet'!$E$70:$Z$70,ISNUMBER('[1]Oil(SHN)_Data Sheet'!$E$70:$Z$70))</definedName>
    <definedName name="krit1oilshn">_xlfn._xlws.FILTER('[1]Oil(SHN)_Data Sheet'!$D$18:$Y$18,ISNUMBER('[1]Oil(SHN)_Data Sheet'!$D$18:$Y$18))</definedName>
    <definedName name="krit5oilshn">_xlfn._xlws.FILTER('[1]Oil(SHN)_Data Sheet'!$D$17:$Y$17,ISNUMBER('[1]Oil(SHN)_Data Sheet'!$D$17:$Y$17))</definedName>
    <definedName name="kvalueffacsb1">_xlfn._xlws.FILTER('[1]FFA(CSB)_Data Sheet'!$E$43:$Z$43,ISNUMBER('[1]FFA(CSB)_Data Sheet'!$E$43:$Z$43))</definedName>
    <definedName name="kvalueffashn1">_xlfn._xlws.FILTER('[1]FFA(SHN)_Data Sheet'!$E$43:$Z$43,ISNUMBER('[1]FFA(SHN)_Data Sheet'!$E$43:$Z$43))</definedName>
    <definedName name="kvalueImpcsb1">_xlfn._xlws.FILTER('[1]Imp(CSB)_Data Sheet'!$E$43:$Z$43,ISNUMBER('[1]Imp(CSB)_Data Sheet'!$E$43:$Z$43))</definedName>
    <definedName name="kvaluemvcsb1">_xlfn._xlws.FILTER('[1]M&amp;V(CSB)_Data Sheet'!$E$43:$Z$43,ISNUMBER('[1]M&amp;V(CSB)_Data Sheet'!$E$43:$Z$43))</definedName>
    <definedName name="kvaluemvshn1">_xlfn._xlws.FILTER('[1]Moist(SHN)_Data Sheet'!$E$43:$Z$43,ISNUMBER('[1]Moist(SHN)_Data Sheet'!$E$43:$Z$43))</definedName>
    <definedName name="kvalueoilshn">_xlfn._xlws.FILTER('[1]Oil(SHN)_Data Sheet'!$D$16:$Y$16,ISNUMBER('[1]Oil(SHN)_Data Sheet'!$D$16:$Y$16))</definedName>
    <definedName name="kvalueoilshn1">_xlfn._xlws.FILTER('[1]Oil(SHN)_Data Sheet'!$E$60:$Z$60,ISNUMBER('[1]Oil(SHN)_Data Sheet'!$E$60:$Z$60))</definedName>
    <definedName name="labnamesoilshn">OFFSET('[1]Oil(SHN)_Data Sheet'!$C$3,,1,,COUNTA('[1]Oil(SHN)_Data Sheet'!$3:$3)-2)</definedName>
    <definedName name="Sample_Bffacsb1">'[1]FFA(CSB)_Data Sheet'!$D$6:$Y$7</definedName>
    <definedName name="Sample_Bffashn1">'[1]FFA(SHN)_Data Sheet'!$D$6:$Y$7</definedName>
    <definedName name="Sample_BImpcsb1">'[1]Imp(CSB)_Data Sheet'!$D$6:$Y$7</definedName>
    <definedName name="Sample_Bmvcsb1">'[1]M&amp;V(CSB)_Data Sheet'!$D$6:$Y$7</definedName>
    <definedName name="Sample_Bmvshn1">'[1]Moist(SHN)_Data Sheet'!$D$6:$Y$7</definedName>
    <definedName name="Sample_Boilshn">OFFSET('[1]Oil(SHN)_Data Sheet'!$C$6:$C$7,,1,,COUNTA('[1]Oil(SHN)_Data Sheet'!$D$6:$XFD$7))</definedName>
    <definedName name="SampleA_Coordinates" localSheetId="1">OFFSET('FFA in shea kernels'!#REF!,1,,COUNT('FFA in shea kernels'!$B$2:$B$32))</definedName>
    <definedName name="SampleA_Coordinates" localSheetId="3">OFFSET('FFA(CSB)_Youden Plot Points'!#REF!,1,,COUNT('FFA(CSB)_Youden Plot Points'!$B$2:$B$32))</definedName>
    <definedName name="SampleA_Coordinates" localSheetId="5">OFFSET('Imp(CSB)_Youden Plot Points'!#REF!,1,,COUNT('Imp(CSB)_Youden Plot Points'!$B$2:$B$32))</definedName>
    <definedName name="SampleA_Coordinates" localSheetId="2">OFFSET('M&amp;V in shea kernels'!#REF!,1,,COUNT('M&amp;V in shea kernels'!$B$2:$B$32))</definedName>
    <definedName name="SampleA_Coordinates" localSheetId="4">OFFSET('M&amp;V(CSB)_Youden Plot Points'!#REF!,1,,COUNT('M&amp;V(CSB)_Youden Plot Points'!$B$2:$B$32))</definedName>
    <definedName name="SampleA_Coordinatesffacsb">OFFSET('FFA(CSB)_Youden Plot Points'!#REF!,1,,COUNT('FFA(CSB)_Youden Plot Points'!$B$2:$B$32))</definedName>
    <definedName name="SampleA_Coordinatesffashn">OFFSET('FFA in shea kernels'!#REF!,1,,COUNT('FFA in shea kernels'!$B$2:$B$32))</definedName>
    <definedName name="SampleA_CoordinatesImpcsb">OFFSET('Imp(CSB)_Youden Plot Points'!#REF!,1,,COUNT('Imp(CSB)_Youden Plot Points'!$B$2:$B$32))</definedName>
    <definedName name="SampleA_Coordinatesmvcsb">OFFSET('M&amp;V(CSB)_Youden Plot Points'!#REF!,1,,COUNT('M&amp;V(CSB)_Youden Plot Points'!$B$2:$B$32))</definedName>
    <definedName name="SampleA_Coordinatesmvshn">OFFSET('M&amp;V in shea kernels'!#REF!,1,,COUNT('M&amp;V in shea kernels'!$B$2:$B$32))</definedName>
    <definedName name="SampleA_Coordinatesoilshn">OFFSET('Oil content'!$B$1,1,,COUNT('Oil content'!$B$2:$B$32))</definedName>
    <definedName name="SampleAffacsb1">'[1]FFA(CSB)_Data Sheet'!$D$4:$Y$5</definedName>
    <definedName name="SampleAffashn1">'[1]FFA(SHN)_Data Sheet'!$D$4:$Y$5</definedName>
    <definedName name="SampleAImpcsb1">'[1]Imp(CSB)_Data Sheet'!$D$4:$Y$5</definedName>
    <definedName name="SampleAmvcsb1">'[1]M&amp;V(CSB)_Data Sheet'!$D$4:$Y$5</definedName>
    <definedName name="SampleAmvshn1">'[1]Moist(SHN)_Data Sheet'!$D$4:$Y$5</definedName>
    <definedName name="SampleAoilshn">OFFSET('[1]Oil(SHN)_Data Sheet'!$C$4:$C$5,,1,,COUNTA('[1]Oil(SHN)_Data Sheet'!$D$4:$Y$5))</definedName>
    <definedName name="SampleB_Coordinates" localSheetId="1">OFFSET('FFA in shea kernels'!#REF!,1,,COUNT('FFA in shea kernels'!$C$2:$C$32))</definedName>
    <definedName name="SampleB_Coordinates" localSheetId="3">OFFSET('FFA(CSB)_Youden Plot Points'!#REF!,1,,COUNT('FFA(CSB)_Youden Plot Points'!$C$2:$C$32))</definedName>
    <definedName name="SampleB_Coordinates" localSheetId="5">OFFSET('Imp(CSB)_Youden Plot Points'!#REF!,1,,COUNT('Imp(CSB)_Youden Plot Points'!$C$2:$C$32))</definedName>
    <definedName name="SampleB_Coordinates" localSheetId="2">OFFSET('M&amp;V in shea kernels'!#REF!,1,,COUNT('M&amp;V in shea kernels'!$C$2:$C$32))</definedName>
    <definedName name="SampleB_Coordinates" localSheetId="4">OFFSET('M&amp;V(CSB)_Youden Plot Points'!#REF!,1,,COUNT('M&amp;V(CSB)_Youden Plot Points'!$C$2:$C$32))</definedName>
    <definedName name="SampleB_Coordinatesffacsb">OFFSET('FFA(CSB)_Youden Plot Points'!#REF!,1,,COUNT('FFA(CSB)_Youden Plot Points'!$C$2:$C$32))</definedName>
    <definedName name="SampleB_Coordinatesffashn">OFFSET('FFA in shea kernels'!#REF!,1,,COUNT('FFA in shea kernels'!$C$2:$C$32))</definedName>
    <definedName name="SampleB_CoordinatesImpcsb">OFFSET('Imp(CSB)_Youden Plot Points'!#REF!,1,,COUNT('Imp(CSB)_Youden Plot Points'!$C$2:$C$32))</definedName>
    <definedName name="SampleB_Coordinatesmvcsb">OFFSET('M&amp;V(CSB)_Youden Plot Points'!#REF!,1,,COUNT('M&amp;V(CSB)_Youden Plot Points'!$C$2:$C$32))</definedName>
    <definedName name="SampleB_Coordinatesmvshn">OFFSET('M&amp;V in shea kernels'!#REF!,1,,COUNT('M&amp;V in shea kernels'!$C$2:$C$32))</definedName>
    <definedName name="SampleB_Coordinatesoilshn">OFFSET('Oil content'!$C$1,1,,COUNT('Oil content'!$C$2:$C$32))</definedName>
    <definedName name="SampleX" localSheetId="1">_xlfn._xlws.FILTER('FFA in shea kernels'!XFD1:XFD31,('FFA in shea kernels'!XFD1:XFD31&gt;='[1]Oil(SHN)_Data Sheet'!XFB18)*('FFA in shea kernels'!XFD1:XFD31&lt;='[1]Oil(SHN)_Data Sheet'!XFB17))</definedName>
    <definedName name="SampleX" localSheetId="3">_xlfn._xlws.FILTER('FFA(CSB)_Youden Plot Points'!XFD1:XFD31,('FFA(CSB)_Youden Plot Points'!XFD1:XFD31&gt;='[1]Oil(SHN)_Data Sheet'!XFB18)*('FFA(CSB)_Youden Plot Points'!XFD1:XFD31&lt;='[1]Oil(SHN)_Data Sheet'!XFB17))</definedName>
    <definedName name="SampleX" localSheetId="5">_xlfn._xlws.FILTER('Imp(CSB)_Youden Plot Points'!XFD1:XFD31,('Imp(CSB)_Youden Plot Points'!XFD1:XFD31&gt;='[1]Oil(SHN)_Data Sheet'!XFB18)*('Imp(CSB)_Youden Plot Points'!XFD1:XFD31&lt;='[1]Oil(SHN)_Data Sheet'!XFB17))</definedName>
    <definedName name="SampleX" localSheetId="2">_xlfn._xlws.FILTER('M&amp;V in shea kernels'!XFD1:XFD31,('M&amp;V in shea kernels'!XFD1:XFD31&gt;='[1]Oil(SHN)_Data Sheet'!XFB18)*('M&amp;V in shea kernels'!XFD1:XFD31&lt;='[1]Oil(SHN)_Data Sheet'!XFB17))</definedName>
    <definedName name="SampleX" localSheetId="4">_xlfn._xlws.FILTER('M&amp;V(CSB)_Youden Plot Points'!XFD1:XFD31,('M&amp;V(CSB)_Youden Plot Points'!XFD1:XFD31&gt;='[1]Oil(SHN)_Data Sheet'!XFB18)*('M&amp;V(CSB)_Youden Plot Points'!XFD1:XFD31&lt;='[1]Oil(SHN)_Data Sheet'!XFB17))</definedName>
    <definedName name="SampleX">_xlfn._xlws.FILTER('Oil content'!XFD1:XFD31,('Oil content'!XFD1:XFD31&gt;='[1]Oil(SHN)_Data Sheet'!XFB18)*('Oil content'!XFD1:XFD31&lt;='[1]Oil(SHN)_Data Sheet'!XFB17))</definedName>
    <definedName name="SampleY" localSheetId="1">_xlfn._xlws.FILTER('FFA in shea kernels'!XFD1:XFD31,('FFA in shea kernels'!XFD1:XFD31&gt;='[1]Oil(SHN)_Data Sheet'!XEW18)*('FFA in shea kernels'!XFD1:XFD31&lt;='[1]Oil(SHN)_Data Sheet'!XEW17))</definedName>
    <definedName name="SampleY" localSheetId="3">_xlfn._xlws.FILTER('FFA(CSB)_Youden Plot Points'!XFD1:XFD31,('FFA(CSB)_Youden Plot Points'!XFD1:XFD31&gt;='[1]Oil(SHN)_Data Sheet'!XEW18)*('FFA(CSB)_Youden Plot Points'!XFD1:XFD31&lt;='[1]Oil(SHN)_Data Sheet'!XEW17))</definedName>
    <definedName name="SampleY" localSheetId="5">_xlfn._xlws.FILTER('Imp(CSB)_Youden Plot Points'!XFD1:XFD31,('Imp(CSB)_Youden Plot Points'!XFD1:XFD31&gt;='[1]Oil(SHN)_Data Sheet'!XEW18)*('Imp(CSB)_Youden Plot Points'!XFD1:XFD31&lt;='[1]Oil(SHN)_Data Sheet'!XEW17))</definedName>
    <definedName name="SampleY" localSheetId="2">_xlfn._xlws.FILTER('M&amp;V in shea kernels'!XFD1:XFD31,('M&amp;V in shea kernels'!XFD1:XFD31&gt;='[1]Oil(SHN)_Data Sheet'!XEW18)*('M&amp;V in shea kernels'!XFD1:XFD31&lt;='[1]Oil(SHN)_Data Sheet'!XEW17))</definedName>
    <definedName name="SampleY" localSheetId="4">_xlfn._xlws.FILTER('M&amp;V(CSB)_Youden Plot Points'!XFD1:XFD31,('M&amp;V(CSB)_Youden Plot Points'!XFD1:XFD31&gt;='[1]Oil(SHN)_Data Sheet'!XEW18)*('M&amp;V(CSB)_Youden Plot Points'!XFD1:XFD31&lt;='[1]Oil(SHN)_Data Sheet'!XEW17))</definedName>
    <definedName name="SampleY">_xlfn._xlws.FILTER('Oil content'!XFD1:XFD31,('Oil content'!XFD1:XFD31&gt;='[1]Oil(SHN)_Data Sheet'!XEW18)*('Oil content'!XFD1:XFD31&lt;='[1]Oil(SHN)_Data Sheet'!XEW17))</definedName>
    <definedName name="Tableffacsb1">[1]!Tableffacsb[#Data]</definedName>
    <definedName name="Tableffashn1">[1]!Tableffashn[#Data]</definedName>
    <definedName name="TableImpcsb1">[1]!TableImpcsb[#Data]</definedName>
    <definedName name="Tablemvcsb1">[1]!Tablemvcsb[#Data]</definedName>
    <definedName name="Tablemvshn1">[1]!Tablemvshn[#Data]</definedName>
    <definedName name="Tableoilshn1">[1]!Tableoilshn[#Data]</definedName>
    <definedName name="xcirclepointsffacsb">'[2]FFA(CSB)_Ellipse Plot Points'!$D$3:$D$363</definedName>
    <definedName name="xcirclepointsffashn">'[3]FFA(SHN)_Ellipse Plot Points'!$D$3:$D$363</definedName>
    <definedName name="xcirclepointsImpcsb">'[4]Imp(CSB)_Ellipse Plot Points'!$D$3:$D$363</definedName>
    <definedName name="xcirclepointsmvcsb">'[5]M&amp;V(CSB)_Ellipse Plot Points'!$D$3:$D$363</definedName>
    <definedName name="xcirclepointsmvshn">'[6]Moist(SHN)_Ellipse Plot Points'!$D$3:$D$363</definedName>
    <definedName name="Ycirclepointsffacsb">'[2]FFA(CSB)_Ellipse Plot Points'!$E$3:$E$363</definedName>
    <definedName name="Ycirclepointsffashn">'[3]FFA(SHN)_Ellipse Plot Points'!$E$3:$E$363</definedName>
    <definedName name="YcirclepointsImpcsb">'[4]Imp(CSB)_Ellipse Plot Points'!$E$3:$E$363</definedName>
    <definedName name="Ycirclepointsmvcsb">'[5]M&amp;V(CSB)_Ellipse Plot Points'!$E$3:$E$363</definedName>
    <definedName name="Ycirclepointsmvshn">'[6]Moist(SHN)_Ellipse Plot Points'!$E$3:$E$363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2" i="6"/>
  <c r="B32" i="6"/>
  <c r="C31" i="6"/>
  <c r="B31" i="6"/>
  <c r="C30" i="6"/>
  <c r="B30" i="6"/>
  <c r="C29" i="6"/>
  <c r="B29" i="6"/>
  <c r="C28" i="6"/>
  <c r="B28" i="6"/>
  <c r="C27" i="6"/>
  <c r="B27" i="6"/>
  <c r="C26" i="6"/>
  <c r="B26" i="6"/>
  <c r="C25" i="6"/>
  <c r="B25" i="6"/>
  <c r="C24" i="6"/>
  <c r="B24" i="6"/>
  <c r="B22" i="6"/>
  <c r="B19" i="6"/>
  <c r="C21" i="6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B21" i="5"/>
  <c r="B20" i="5"/>
  <c r="C19" i="5"/>
  <c r="B19" i="5"/>
  <c r="C22" i="5"/>
  <c r="C32" i="4"/>
  <c r="B32" i="4"/>
  <c r="C31" i="4"/>
  <c r="B31" i="4"/>
  <c r="C30" i="4"/>
  <c r="B30" i="4"/>
  <c r="C29" i="4"/>
  <c r="B29" i="4"/>
  <c r="C28" i="4"/>
  <c r="B28" i="4"/>
  <c r="C27" i="4"/>
  <c r="B27" i="4"/>
  <c r="C26" i="4"/>
  <c r="B26" i="4"/>
  <c r="C25" i="4"/>
  <c r="B25" i="4"/>
  <c r="C24" i="4"/>
  <c r="B24" i="4"/>
  <c r="C21" i="4"/>
  <c r="C20" i="4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1" i="3"/>
  <c r="C32" i="2"/>
  <c r="B32" i="2"/>
  <c r="C31" i="2"/>
  <c r="B31" i="2"/>
  <c r="C30" i="2"/>
  <c r="B30" i="2"/>
  <c r="C29" i="2"/>
  <c r="B29" i="2"/>
  <c r="C28" i="2"/>
  <c r="B28" i="2"/>
  <c r="C27" i="2"/>
  <c r="B27" i="2"/>
  <c r="C26" i="2"/>
  <c r="B26" i="2"/>
  <c r="C25" i="2"/>
  <c r="B25" i="2"/>
  <c r="C24" i="2"/>
  <c r="B24" i="2"/>
  <c r="C22" i="2"/>
  <c r="B22" i="2"/>
  <c r="C21" i="2"/>
  <c r="C20" i="2"/>
  <c r="B20" i="2"/>
  <c r="C19" i="2"/>
  <c r="B19" i="2"/>
  <c r="C18" i="2"/>
  <c r="B18" i="2"/>
  <c r="C17" i="2"/>
  <c r="B17" i="2"/>
  <c r="C23" i="2"/>
  <c r="B32" i="1"/>
  <c r="C20" i="5" l="1"/>
  <c r="C21" i="5"/>
  <c r="C18" i="3"/>
  <c r="C19" i="3"/>
  <c r="B17" i="3"/>
  <c r="B19" i="3"/>
  <c r="C20" i="3"/>
  <c r="C17" i="3"/>
  <c r="B18" i="3"/>
  <c r="B27" i="1"/>
  <c r="B29" i="1"/>
  <c r="B18" i="1"/>
  <c r="B28" i="1"/>
  <c r="B21" i="1"/>
  <c r="B26" i="1"/>
  <c r="B19" i="1"/>
  <c r="B31" i="1"/>
  <c r="B23" i="1"/>
  <c r="B24" i="1"/>
  <c r="B23" i="5"/>
  <c r="B22" i="5"/>
  <c r="B23" i="4"/>
  <c r="B21" i="4"/>
  <c r="B20" i="4"/>
  <c r="B30" i="1"/>
  <c r="B20" i="1"/>
  <c r="B22" i="4"/>
  <c r="C18" i="6"/>
  <c r="C17" i="6"/>
  <c r="C23" i="6"/>
  <c r="C22" i="6"/>
  <c r="C20" i="6"/>
  <c r="C19" i="6"/>
  <c r="B22" i="1"/>
  <c r="C23" i="4"/>
  <c r="C22" i="4"/>
  <c r="C16" i="6"/>
  <c r="B23" i="3"/>
  <c r="B21" i="3"/>
  <c r="B20" i="3"/>
  <c r="B22" i="3"/>
  <c r="B25" i="1"/>
  <c r="C23" i="3"/>
  <c r="C22" i="3"/>
  <c r="B17" i="1"/>
  <c r="C23" i="5"/>
  <c r="B18" i="6"/>
  <c r="B17" i="6"/>
  <c r="B23" i="6"/>
  <c r="B16" i="6"/>
  <c r="B21" i="6"/>
  <c r="B20" i="6"/>
  <c r="B21" i="2"/>
  <c r="B23" i="2"/>
</calcChain>
</file>

<file path=xl/sharedStrings.xml><?xml version="1.0" encoding="utf-8"?>
<sst xmlns="http://schemas.openxmlformats.org/spreadsheetml/2006/main" count="112" uniqueCount="19">
  <si>
    <t>D</t>
  </si>
  <si>
    <t>A</t>
  </si>
  <si>
    <t>B</t>
  </si>
  <si>
    <t>E</t>
  </si>
  <si>
    <t>F</t>
  </si>
  <si>
    <t>Lab ID</t>
  </si>
  <si>
    <t>C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</si>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</sst>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rgb="FF000000"/>
      </top>
      <bottom style="thin">
        <color theme="1"/>
      </bottom>
      <diagonal/>
    </border>
    <border>
      <left/>
      <right/>
      <top style="thin">
        <color rgb="FF000000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Continuous" vertical="center"/>
    </xf>
    <xf numFmtId="0" fontId="1" fillId="0" borderId="0" xfId="0" applyFont="1"/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2" fillId="0" borderId="2" xfId="0" applyFont="1" applyFill="1" applyBorder="1"/>
    <xf numFmtId="0" fontId="2" fillId="0" borderId="3" xfId="0" applyFont="1" applyFill="1" applyBorder="1"/>
    <xf numFmtId="0" fontId="2" fillId="0" borderId="4" xfId="0" applyFont="1" applyFill="1" applyBorder="1"/>
    <xf numFmtId="0" fontId="3" fillId="0" borderId="5" xfId="0" applyFont="1" applyFill="1" applyBorder="1"/>
    <xf numFmtId="0" fontId="3" fillId="0" borderId="6" xfId="0" applyFont="1" applyFill="1" applyBorder="1"/>
    <xf numFmtId="0" fontId="3" fillId="0" borderId="7" xfId="0" applyFont="1" applyFill="1" applyBorder="1"/>
    <xf numFmtId="0" fontId="3" fillId="0" borderId="8" xfId="0" applyFont="1" applyFill="1" applyBorder="1"/>
    <xf numFmtId="0" fontId="3" fillId="0" borderId="9" xfId="0" applyFont="1" applyFill="1" applyBorder="1"/>
    <xf numFmtId="0" fontId="3" fillId="0" borderId="10" xfId="0" applyFont="1" applyFill="1" applyBorder="1"/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prince_cudjoe_bunge_com/Documents/Ring%20Test%20%20(2)%20-%20Original%20copy%20(1).xlsx" TargetMode="External"/><Relationship Id="rId2" Type="http://schemas.openxmlformats.org/officeDocument/2006/relationships/externalLinkPath" Target="https://bungeltd-my.sharepoint.com/personal/prince_cudjoe_bunge_com/Documents/Ring%20Test%20%20(2)%20-%20Original%20copy%20(1).xlsx" TargetMode="External"/><Relationship Id="rId1" Type="http://schemas.openxmlformats.org/officeDocument/2006/relationships/externalLinkPath" Target="/personal/prince_cudjoe_bunge_com/Documents/Ring%20Test%20%20(2)%20-%20Original%20copy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FA(CSB)_Ellipse%20Plot%20Point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FA(SHN)_Ellipse%20Plot%20Point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mp(CSB)_Ellipse%20Plot%20Point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&amp;V(CSB)_Ellipse%20Plot%20Point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ist(SHN)_Ellipse%20Plot%20Point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rt Deductions"/>
      <sheetName val="Lab Identities"/>
      <sheetName val="Oil(SHN)_Data Sheet"/>
      <sheetName val="Oil(SHN)_Youden Plot Points"/>
      <sheetName val="Oil(SHN)_Ellipse Plot Points"/>
      <sheetName val="FFA(SHN)_Data Sheet"/>
      <sheetName val="FFA(SHN)_Youden Plot Points"/>
      <sheetName val="FFA(SHN)_Ellipse Plot Point"/>
      <sheetName val="Moist(SHN)_Data Sheet"/>
      <sheetName val="Moist(SHN)_Youden Plot Points"/>
      <sheetName val="Moist(SHN)_Ellipse Plot Point"/>
      <sheetName val="FFA(CSB)_Data Sheet"/>
      <sheetName val="FFA(CSB)_Youden Plot Points"/>
      <sheetName val="FFA(CSB)_Ellipse Plot Point"/>
      <sheetName val="M&amp;V(CSB)_Data Sheet"/>
      <sheetName val="M&amp;V(CSB)_Youden Plot Points"/>
      <sheetName val="M&amp;V(CSB)_Ellipse Plot Point"/>
      <sheetName val="Imp(CSB)_Data Sheet"/>
      <sheetName val="Imp(CSB)_Youden Plot Points"/>
      <sheetName val="Imp(CSB)_Ellipse Plot Point"/>
      <sheetName val="FFA(SHB)"/>
    </sheetNames>
    <sheetDataSet>
      <sheetData sheetId="0"/>
      <sheetData sheetId="1"/>
      <sheetData sheetId="2">
        <row r="3">
          <cell r="B3" t="str">
            <v>Sample Identity</v>
          </cell>
          <cell r="C3" t="str">
            <v>Lab Codes --&gt;</v>
          </cell>
          <cell r="D3" t="str">
            <v>A</v>
          </cell>
          <cell r="E3" t="str">
            <v>B</v>
          </cell>
          <cell r="F3" t="str">
            <v>C</v>
          </cell>
          <cell r="G3" t="str">
            <v>G</v>
          </cell>
          <cell r="H3" t="str">
            <v>H</v>
          </cell>
          <cell r="I3" t="str">
            <v>I</v>
          </cell>
          <cell r="J3" t="str">
            <v>J</v>
          </cell>
          <cell r="K3" t="str">
            <v>K</v>
          </cell>
          <cell r="L3" t="str">
            <v>L</v>
          </cell>
          <cell r="M3" t="str">
            <v>M</v>
          </cell>
          <cell r="N3" t="str">
            <v>N</v>
          </cell>
          <cell r="O3" t="str">
            <v>O</v>
          </cell>
          <cell r="P3" t="str">
            <v>P</v>
          </cell>
          <cell r="Q3" t="str">
            <v>Q</v>
          </cell>
          <cell r="R3" t="str">
            <v>R</v>
          </cell>
        </row>
        <row r="4">
          <cell r="C4" t="str">
            <v>R1</v>
          </cell>
          <cell r="D4">
            <v>51.17</v>
          </cell>
          <cell r="E4">
            <v>57.62</v>
          </cell>
          <cell r="F4">
            <v>53.72</v>
          </cell>
          <cell r="G4">
            <v>51.51</v>
          </cell>
          <cell r="H4">
            <v>50.43</v>
          </cell>
          <cell r="I4">
            <v>50.11</v>
          </cell>
          <cell r="J4">
            <v>53.69</v>
          </cell>
          <cell r="K4">
            <v>52.27</v>
          </cell>
          <cell r="L4">
            <v>52.38</v>
          </cell>
          <cell r="M4">
            <v>54.17</v>
          </cell>
          <cell r="N4">
            <v>50.4</v>
          </cell>
          <cell r="O4">
            <v>52.48</v>
          </cell>
          <cell r="P4">
            <v>51.38</v>
          </cell>
          <cell r="Q4">
            <v>54.54</v>
          </cell>
          <cell r="R4">
            <v>52.5</v>
          </cell>
        </row>
        <row r="5">
          <cell r="C5" t="str">
            <v>R2</v>
          </cell>
          <cell r="D5">
            <v>51.47</v>
          </cell>
          <cell r="E5">
            <v>57.07</v>
          </cell>
          <cell r="F5">
            <v>53.4</v>
          </cell>
          <cell r="G5">
            <v>52.32</v>
          </cell>
          <cell r="H5">
            <v>50.35</v>
          </cell>
          <cell r="I5">
            <v>51.43</v>
          </cell>
          <cell r="J5">
            <v>52.85</v>
          </cell>
          <cell r="K5">
            <v>51.01</v>
          </cell>
          <cell r="L5">
            <v>45.72</v>
          </cell>
          <cell r="M5">
            <v>53.77</v>
          </cell>
          <cell r="N5">
            <v>50.5</v>
          </cell>
          <cell r="O5">
            <v>52.5</v>
          </cell>
          <cell r="P5">
            <v>50.92</v>
          </cell>
          <cell r="Q5">
            <v>55.09</v>
          </cell>
          <cell r="R5">
            <v>51.73</v>
          </cell>
        </row>
        <row r="6">
          <cell r="C6" t="str">
            <v>R1</v>
          </cell>
          <cell r="D6">
            <v>50.34</v>
          </cell>
          <cell r="E6">
            <v>54.84</v>
          </cell>
          <cell r="F6">
            <v>50.73</v>
          </cell>
          <cell r="G6">
            <v>52.28</v>
          </cell>
          <cell r="H6">
            <v>50.6</v>
          </cell>
          <cell r="I6">
            <v>50.31</v>
          </cell>
          <cell r="J6">
            <v>53.64</v>
          </cell>
          <cell r="K6">
            <v>50.85</v>
          </cell>
          <cell r="L6">
            <v>50.77</v>
          </cell>
          <cell r="M6">
            <v>54.55</v>
          </cell>
          <cell r="N6">
            <v>47.9</v>
          </cell>
          <cell r="O6">
            <v>52.45</v>
          </cell>
          <cell r="P6">
            <v>50.87</v>
          </cell>
          <cell r="Q6">
            <v>55.75</v>
          </cell>
          <cell r="R6">
            <v>52.16</v>
          </cell>
        </row>
        <row r="7">
          <cell r="C7" t="str">
            <v>R2</v>
          </cell>
          <cell r="D7">
            <v>50.65</v>
          </cell>
          <cell r="E7">
            <v>54.95</v>
          </cell>
          <cell r="F7">
            <v>51.4</v>
          </cell>
          <cell r="G7">
            <v>52.04</v>
          </cell>
          <cell r="H7">
            <v>50.55</v>
          </cell>
          <cell r="I7">
            <v>50.81</v>
          </cell>
          <cell r="J7">
            <v>53.07</v>
          </cell>
          <cell r="K7">
            <v>51.61</v>
          </cell>
          <cell r="L7">
            <v>49.94</v>
          </cell>
          <cell r="M7">
            <v>52.37</v>
          </cell>
          <cell r="N7">
            <v>48</v>
          </cell>
          <cell r="O7">
            <v>52.68</v>
          </cell>
          <cell r="P7">
            <v>50.57</v>
          </cell>
          <cell r="Q7">
            <v>54.33</v>
          </cell>
          <cell r="R7">
            <v>51.71</v>
          </cell>
        </row>
        <row r="16">
          <cell r="D16">
            <v>0.47281066707169556</v>
          </cell>
          <cell r="E16">
            <v>1.3341089264811936</v>
          </cell>
          <cell r="F16">
            <v>1.3705257869155794</v>
          </cell>
          <cell r="G16">
            <v>0.34706507253224483</v>
          </cell>
          <cell r="H16">
            <v>0.10571172154269211</v>
          </cell>
          <cell r="I16">
            <v>0.54826091120592846</v>
          </cell>
          <cell r="J16">
            <v>0.38854447842855511</v>
          </cell>
          <cell r="K16">
            <v>0.60115236390585869</v>
          </cell>
          <cell r="L16">
            <v>2.6457106296014228</v>
          </cell>
          <cell r="M16">
            <v>0.88592478347904802</v>
          </cell>
          <cell r="N16">
            <v>1.3449159709968408</v>
          </cell>
          <cell r="O16">
            <v>9.6569750591827527E-2</v>
          </cell>
          <cell r="P16">
            <v>0.31144664359455643</v>
          </cell>
          <cell r="Q16">
            <v>0.59130850897798681</v>
          </cell>
          <cell r="R16">
            <v>0.35252726008502566</v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</row>
        <row r="17">
          <cell r="D17">
            <v>1.5874801349800243</v>
          </cell>
          <cell r="E17">
            <v>1.5874801349800243</v>
          </cell>
          <cell r="F17">
            <v>1.5874801349800243</v>
          </cell>
          <cell r="G17">
            <v>1.5874801349800243</v>
          </cell>
          <cell r="H17">
            <v>1.5874801349800243</v>
          </cell>
          <cell r="I17">
            <v>1.5874801349800243</v>
          </cell>
          <cell r="J17">
            <v>1.5874801349800243</v>
          </cell>
          <cell r="K17">
            <v>1.5874801349800243</v>
          </cell>
          <cell r="L17">
            <v>1.5874801349800243</v>
          </cell>
          <cell r="M17">
            <v>1.5874801349800243</v>
          </cell>
          <cell r="N17">
            <v>1.5874801349800243</v>
          </cell>
          <cell r="O17">
            <v>1.5874801349800243</v>
          </cell>
          <cell r="P17">
            <v>1.5874801349800243</v>
          </cell>
          <cell r="Q17">
            <v>1.5874801349800243</v>
          </cell>
          <cell r="R17">
            <v>1.5874801349800243</v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</row>
        <row r="18">
          <cell r="D18">
            <v>1.8749261227860876</v>
          </cell>
          <cell r="E18">
            <v>1.8749261227860876</v>
          </cell>
          <cell r="F18">
            <v>1.8749261227860876</v>
          </cell>
          <cell r="G18">
            <v>1.8749261227860876</v>
          </cell>
          <cell r="H18">
            <v>1.8749261227860876</v>
          </cell>
          <cell r="I18">
            <v>1.8749261227860876</v>
          </cell>
          <cell r="J18">
            <v>1.8749261227860876</v>
          </cell>
          <cell r="K18">
            <v>1.8749261227860876</v>
          </cell>
          <cell r="L18">
            <v>1.8749261227860876</v>
          </cell>
          <cell r="M18">
            <v>1.8749261227860876</v>
          </cell>
          <cell r="N18">
            <v>1.8749261227860876</v>
          </cell>
          <cell r="O18">
            <v>1.8749261227860876</v>
          </cell>
          <cell r="P18">
            <v>1.8749261227860876</v>
          </cell>
          <cell r="Q18">
            <v>1.8749261227860876</v>
          </cell>
          <cell r="R18">
            <v>1.8749261227860876</v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</row>
        <row r="26">
          <cell r="D26">
            <v>-0.42246460076010534</v>
          </cell>
          <cell r="E26">
            <v>2.287808299500901</v>
          </cell>
          <cell r="F26">
            <v>0.30807418578506468</v>
          </cell>
          <cell r="G26">
            <v>0.16508616706625931</v>
          </cell>
          <cell r="H26">
            <v>-0.64344608423462613</v>
          </cell>
          <cell r="I26">
            <v>-0.54855403544851067</v>
          </cell>
          <cell r="J26">
            <v>0.82803061748981432</v>
          </cell>
          <cell r="K26">
            <v>-0.14818758303585186</v>
          </cell>
          <cell r="L26">
            <v>-1.0490121009643314</v>
          </cell>
          <cell r="M26">
            <v>1.0373130812509777</v>
          </cell>
          <cell r="N26">
            <v>-1.3102902078959668</v>
          </cell>
          <cell r="O26">
            <v>0.41986481860158764</v>
          </cell>
          <cell r="P26">
            <v>-0.40816579888822663</v>
          </cell>
          <cell r="Q26">
            <v>1.6677602546929822</v>
          </cell>
          <cell r="R26">
            <v>0.15858671166994848</v>
          </cell>
          <cell r="S26" t="str">
            <v/>
          </cell>
          <cell r="T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Y26" t="str">
            <v/>
          </cell>
        </row>
        <row r="27">
          <cell r="D27">
            <v>2.0777588277388994</v>
          </cell>
          <cell r="E27">
            <v>2.0777588277388994</v>
          </cell>
          <cell r="F27">
            <v>2.0777588277388994</v>
          </cell>
          <cell r="G27">
            <v>2.0777588277388994</v>
          </cell>
          <cell r="H27">
            <v>2.0777588277388994</v>
          </cell>
          <cell r="I27">
            <v>2.0777588277388994</v>
          </cell>
          <cell r="J27">
            <v>2.0777588277388994</v>
          </cell>
          <cell r="K27">
            <v>2.0777588277388994</v>
          </cell>
          <cell r="L27">
            <v>2.0777588277388994</v>
          </cell>
          <cell r="M27">
            <v>2.0777588277388994</v>
          </cell>
          <cell r="N27">
            <v>2.0777588277388994</v>
          </cell>
          <cell r="O27">
            <v>2.0777588277388994</v>
          </cell>
          <cell r="P27">
            <v>2.0777588277388994</v>
          </cell>
          <cell r="Q27">
            <v>2.0777588277388994</v>
          </cell>
          <cell r="R27">
            <v>2.0777588277388994</v>
          </cell>
          <cell r="S27" t="str">
            <v/>
          </cell>
          <cell r="T27" t="str">
            <v/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Y27" t="str">
            <v/>
          </cell>
        </row>
        <row r="28">
          <cell r="D28">
            <v>-2.0777588277388994</v>
          </cell>
          <cell r="E28">
            <v>-2.0777588277388994</v>
          </cell>
          <cell r="F28">
            <v>-2.0777588277388994</v>
          </cell>
          <cell r="G28">
            <v>-2.0777588277388994</v>
          </cell>
          <cell r="H28">
            <v>-2.0777588277388994</v>
          </cell>
          <cell r="I28">
            <v>-2.0777588277388994</v>
          </cell>
          <cell r="J28">
            <v>-2.0777588277388994</v>
          </cell>
          <cell r="K28">
            <v>-2.0777588277388994</v>
          </cell>
          <cell r="L28">
            <v>-2.0777588277388994</v>
          </cell>
          <cell r="M28">
            <v>-2.0777588277388994</v>
          </cell>
          <cell r="N28">
            <v>-2.0777588277388994</v>
          </cell>
          <cell r="O28">
            <v>-2.0777588277388994</v>
          </cell>
          <cell r="P28">
            <v>-2.0777588277388994</v>
          </cell>
          <cell r="Q28">
            <v>-2.0777588277388994</v>
          </cell>
          <cell r="R28">
            <v>-2.0777588277388994</v>
          </cell>
          <cell r="S28" t="str">
            <v/>
          </cell>
          <cell r="T28" t="str">
            <v/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/>
          </cell>
        </row>
        <row r="29">
          <cell r="D29">
            <v>2.4692833652616</v>
          </cell>
          <cell r="E29">
            <v>2.4692833652616</v>
          </cell>
          <cell r="F29">
            <v>2.4692833652616</v>
          </cell>
          <cell r="G29">
            <v>2.4692833652616</v>
          </cell>
          <cell r="H29">
            <v>2.4692833652616</v>
          </cell>
          <cell r="I29">
            <v>2.4692833652616</v>
          </cell>
          <cell r="J29">
            <v>2.4692833652616</v>
          </cell>
          <cell r="K29">
            <v>2.4692833652616</v>
          </cell>
          <cell r="L29">
            <v>2.4692833652616</v>
          </cell>
          <cell r="M29">
            <v>2.4692833652616</v>
          </cell>
          <cell r="N29">
            <v>2.4692833652616</v>
          </cell>
          <cell r="O29">
            <v>2.4692833652616</v>
          </cell>
          <cell r="P29">
            <v>2.4692833652616</v>
          </cell>
          <cell r="Q29">
            <v>2.4692833652616</v>
          </cell>
          <cell r="R29">
            <v>2.4692833652616</v>
          </cell>
          <cell r="S29" t="str">
            <v/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/>
          </cell>
        </row>
        <row r="30">
          <cell r="D30">
            <v>-2.4692833652616</v>
          </cell>
          <cell r="E30">
            <v>-2.4692833652616</v>
          </cell>
          <cell r="F30">
            <v>-2.4692833652616</v>
          </cell>
          <cell r="G30">
            <v>-2.4692833652616</v>
          </cell>
          <cell r="H30">
            <v>-2.4692833652616</v>
          </cell>
          <cell r="I30">
            <v>-2.4692833652616</v>
          </cell>
          <cell r="J30">
            <v>-2.4692833652616</v>
          </cell>
          <cell r="K30">
            <v>-2.4692833652616</v>
          </cell>
          <cell r="L30">
            <v>-2.4692833652616</v>
          </cell>
          <cell r="M30">
            <v>-2.4692833652616</v>
          </cell>
          <cell r="N30">
            <v>-2.4692833652616</v>
          </cell>
          <cell r="O30">
            <v>-2.4692833652616</v>
          </cell>
          <cell r="P30">
            <v>-2.4692833652616</v>
          </cell>
          <cell r="Q30">
            <v>-2.4692833652616</v>
          </cell>
          <cell r="R30">
            <v>-2.4692833652616</v>
          </cell>
          <cell r="S30" t="str">
            <v/>
          </cell>
          <cell r="T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/>
          </cell>
        </row>
        <row r="60">
          <cell r="E60">
            <v>0.76006920795895694</v>
          </cell>
          <cell r="F60">
            <v>4.5604152477539135E-2</v>
          </cell>
          <cell r="G60">
            <v>1.6265481050321682</v>
          </cell>
          <cell r="H60">
            <v>1.0032913545058286</v>
          </cell>
          <cell r="I60">
            <v>7.6006920795891372E-2</v>
          </cell>
          <cell r="J60">
            <v>0.80567336043649596</v>
          </cell>
          <cell r="K60">
            <v>1.5201384159176113E-2</v>
          </cell>
          <cell r="L60">
            <v>1.4441314951220223</v>
          </cell>
          <cell r="M60">
            <v>1.8393674832606661</v>
          </cell>
          <cell r="N60">
            <v>1.5201384159179139</v>
          </cell>
          <cell r="O60">
            <v>0.76006920795895694</v>
          </cell>
          <cell r="P60">
            <v>0.21281937822850877</v>
          </cell>
          <cell r="Q60">
            <v>0.15201384159178274</v>
          </cell>
          <cell r="R60">
            <v>0.74486782379978067</v>
          </cell>
          <cell r="S60">
            <v>1.064096891142533</v>
          </cell>
          <cell r="T60" t="str">
            <v/>
          </cell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Y60" t="str">
            <v/>
          </cell>
          <cell r="Z60" t="str">
            <v/>
          </cell>
        </row>
        <row r="70">
          <cell r="E70">
            <v>-0.62147110274911066</v>
          </cell>
          <cell r="F70">
            <v>1.8373457515073759</v>
          </cell>
          <cell r="G70">
            <v>-0.35837445123685685</v>
          </cell>
          <cell r="H70">
            <v>-0.58249382104359027</v>
          </cell>
          <cell r="I70">
            <v>0.80444778631112546</v>
          </cell>
          <cell r="J70">
            <v>-0.37786309208961705</v>
          </cell>
          <cell r="K70">
            <v>0.89539477695733216</v>
          </cell>
          <cell r="L70">
            <v>0.55109545522525172</v>
          </cell>
          <cell r="M70">
            <v>-1.3263102802572462</v>
          </cell>
          <cell r="N70">
            <v>-0.15374372228288369</v>
          </cell>
          <cell r="O70">
            <v>-1.6153917862398455</v>
          </cell>
          <cell r="P70">
            <v>-0.71241809339532203</v>
          </cell>
          <cell r="Q70">
            <v>-0.244690712929095</v>
          </cell>
          <cell r="R70">
            <v>1.6944290519204739</v>
          </cell>
          <cell r="S70">
            <v>0.21004424030196159</v>
          </cell>
          <cell r="T70" t="str">
            <v/>
          </cell>
          <cell r="U70" t="str">
            <v/>
          </cell>
          <cell r="V70" t="str">
            <v/>
          </cell>
          <cell r="W70" t="str">
            <v/>
          </cell>
          <cell r="X70" t="str">
            <v/>
          </cell>
          <cell r="Y70" t="str">
            <v/>
          </cell>
          <cell r="Z70" t="str">
            <v/>
          </cell>
        </row>
      </sheetData>
      <sheetData sheetId="3"/>
      <sheetData sheetId="4"/>
      <sheetData sheetId="5">
        <row r="4">
          <cell r="D4">
            <v>2.1800000000000002</v>
          </cell>
          <cell r="E4">
            <v>2.56</v>
          </cell>
          <cell r="F4">
            <v>0</v>
          </cell>
          <cell r="G4">
            <v>1.7</v>
          </cell>
          <cell r="H4">
            <v>1.98</v>
          </cell>
          <cell r="I4">
            <v>1.1100000000000001</v>
          </cell>
          <cell r="J4">
            <v>1.4</v>
          </cell>
          <cell r="K4">
            <v>1.3</v>
          </cell>
          <cell r="L4">
            <v>18.54</v>
          </cell>
          <cell r="M4">
            <v>2.56</v>
          </cell>
          <cell r="N4">
            <v>2</v>
          </cell>
          <cell r="O4">
            <v>1.45</v>
          </cell>
          <cell r="P4">
            <v>1.2</v>
          </cell>
          <cell r="Q4">
            <v>1.77</v>
          </cell>
          <cell r="R4">
            <v>1.83</v>
          </cell>
        </row>
        <row r="5">
          <cell r="D5">
            <v>2.13</v>
          </cell>
          <cell r="E5">
            <v>2.74</v>
          </cell>
          <cell r="F5">
            <v>0</v>
          </cell>
          <cell r="G5">
            <v>1.65</v>
          </cell>
          <cell r="H5">
            <v>1.92</v>
          </cell>
          <cell r="I5">
            <v>0.21</v>
          </cell>
          <cell r="J5">
            <v>1.0900000000000001</v>
          </cell>
          <cell r="K5">
            <v>1.1499999999999999</v>
          </cell>
          <cell r="L5">
            <v>16.149999999999999</v>
          </cell>
          <cell r="M5">
            <v>3.03</v>
          </cell>
          <cell r="N5">
            <v>1.8</v>
          </cell>
          <cell r="O5">
            <v>1.46</v>
          </cell>
          <cell r="P5">
            <v>1.26</v>
          </cell>
          <cell r="Q5">
            <v>1.73</v>
          </cell>
          <cell r="R5">
            <v>1.76</v>
          </cell>
        </row>
        <row r="6">
          <cell r="D6">
            <v>1.66</v>
          </cell>
          <cell r="E6">
            <v>2.4</v>
          </cell>
          <cell r="F6">
            <v>0</v>
          </cell>
          <cell r="G6">
            <v>1.68</v>
          </cell>
          <cell r="H6">
            <v>2.2000000000000002</v>
          </cell>
          <cell r="I6">
            <v>0.17</v>
          </cell>
          <cell r="J6">
            <v>2.2999999999999998</v>
          </cell>
          <cell r="K6">
            <v>0.69</v>
          </cell>
          <cell r="L6">
            <v>5.8</v>
          </cell>
          <cell r="M6">
            <v>4.4400000000000004</v>
          </cell>
          <cell r="N6">
            <v>1.2</v>
          </cell>
          <cell r="O6">
            <v>0.99</v>
          </cell>
          <cell r="P6">
            <v>1.44</v>
          </cell>
          <cell r="Q6">
            <v>1.59</v>
          </cell>
          <cell r="R6">
            <v>2.04</v>
          </cell>
        </row>
        <row r="7">
          <cell r="D7">
            <v>1.57</v>
          </cell>
          <cell r="E7">
            <v>2.11</v>
          </cell>
          <cell r="F7">
            <v>0</v>
          </cell>
          <cell r="G7">
            <v>1.62</v>
          </cell>
          <cell r="H7">
            <v>2.15</v>
          </cell>
          <cell r="I7">
            <v>0.77</v>
          </cell>
          <cell r="J7">
            <v>1.82</v>
          </cell>
          <cell r="K7">
            <v>0.61</v>
          </cell>
          <cell r="L7">
            <v>6.1</v>
          </cell>
          <cell r="M7">
            <v>3.13</v>
          </cell>
          <cell r="N7">
            <v>1.1000000000000001</v>
          </cell>
          <cell r="O7">
            <v>1.03</v>
          </cell>
          <cell r="P7">
            <v>1.45</v>
          </cell>
          <cell r="Q7">
            <v>1.58</v>
          </cell>
          <cell r="R7">
            <v>2.0699999999999998</v>
          </cell>
        </row>
        <row r="43">
          <cell r="E43">
            <v>0.57790400150066434</v>
          </cell>
          <cell r="F43">
            <v>3.12380541351703E-2</v>
          </cell>
          <cell r="G43">
            <v>0.17180929774343942</v>
          </cell>
          <cell r="H43">
            <v>0.23428540601378001</v>
          </cell>
          <cell r="I43">
            <v>0.18742832481102734</v>
          </cell>
          <cell r="J43">
            <v>1.7337120045019878</v>
          </cell>
          <cell r="K43">
            <v>2.5927584932191845</v>
          </cell>
          <cell r="L43">
            <v>0.40609470375722501</v>
          </cell>
          <cell r="M43">
            <v>1.4057124360826911</v>
          </cell>
          <cell r="N43">
            <v>1.5619027067585485</v>
          </cell>
          <cell r="O43">
            <v>0.15619027067585153</v>
          </cell>
          <cell r="P43">
            <v>0.23428540601378001</v>
          </cell>
          <cell r="Q43">
            <v>0.21866637894619764</v>
          </cell>
          <cell r="R43">
            <v>4.6857081202758222E-2</v>
          </cell>
          <cell r="S43">
            <v>0.32799956841929651</v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/>
          </cell>
          <cell r="Z43" t="str">
            <v/>
          </cell>
        </row>
        <row r="53">
          <cell r="E53">
            <v>-0.33671812765102249</v>
          </cell>
          <cell r="F53">
            <v>0.46724968030055053</v>
          </cell>
          <cell r="G53">
            <v>-4.2622547803922292E-3</v>
          </cell>
          <cell r="H53">
            <v>0.34417707351671084</v>
          </cell>
          <cell r="I53">
            <v>-0.88495064877903451</v>
          </cell>
          <cell r="J53">
            <v>1.2584307239109447</v>
          </cell>
          <cell r="K53">
            <v>1.6915823659683529</v>
          </cell>
          <cell r="L53">
            <v>1.8322367737213112</v>
          </cell>
          <cell r="M53">
            <v>0.18913755587992662</v>
          </cell>
          <cell r="N53">
            <v>-1.5722392321173568</v>
          </cell>
          <cell r="O53">
            <v>-0.35429992862014226</v>
          </cell>
          <cell r="P53">
            <v>-0.72991113114224915</v>
          </cell>
          <cell r="Q53">
            <v>-0.8465903557554999</v>
          </cell>
          <cell r="R53">
            <v>-1.3852328036276165E-2</v>
          </cell>
          <cell r="S53">
            <v>-1.0399901664158182</v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</row>
      </sheetData>
      <sheetData sheetId="6"/>
      <sheetData sheetId="7"/>
      <sheetData sheetId="8">
        <row r="4">
          <cell r="D4">
            <v>6.85</v>
          </cell>
          <cell r="E4">
            <v>5.7</v>
          </cell>
          <cell r="F4">
            <v>6.02</v>
          </cell>
          <cell r="G4">
            <v>6.15</v>
          </cell>
          <cell r="H4">
            <v>5.18</v>
          </cell>
          <cell r="I4">
            <v>6.45</v>
          </cell>
          <cell r="J4">
            <v>5.29</v>
          </cell>
          <cell r="K4">
            <v>5.84</v>
          </cell>
          <cell r="L4">
            <v>4.4000000000000004</v>
          </cell>
          <cell r="M4">
            <v>5.6</v>
          </cell>
          <cell r="N4">
            <v>6</v>
          </cell>
          <cell r="O4">
            <v>6.44</v>
          </cell>
          <cell r="P4">
            <v>5.92</v>
          </cell>
          <cell r="Q4">
            <v>4.5999999999999996</v>
          </cell>
          <cell r="R4">
            <v>5.89</v>
          </cell>
        </row>
        <row r="5">
          <cell r="D5">
            <v>7.16</v>
          </cell>
          <cell r="E5">
            <v>5.55</v>
          </cell>
          <cell r="F5">
            <v>6</v>
          </cell>
          <cell r="G5">
            <v>6.28</v>
          </cell>
          <cell r="H5">
            <v>5.22</v>
          </cell>
          <cell r="I5">
            <v>6.35</v>
          </cell>
          <cell r="J5">
            <v>5.54</v>
          </cell>
          <cell r="K5">
            <v>5.95</v>
          </cell>
          <cell r="L5">
            <v>4.54</v>
          </cell>
          <cell r="M5">
            <v>5.13</v>
          </cell>
          <cell r="N5">
            <v>6</v>
          </cell>
          <cell r="O5">
            <v>6.47</v>
          </cell>
          <cell r="P5">
            <v>5.96</v>
          </cell>
          <cell r="Q5">
            <v>4.62</v>
          </cell>
          <cell r="R5">
            <v>5.84</v>
          </cell>
        </row>
        <row r="6">
          <cell r="D6">
            <v>6.93</v>
          </cell>
          <cell r="E6">
            <v>5.82</v>
          </cell>
          <cell r="F6">
            <v>6.44</v>
          </cell>
          <cell r="G6">
            <v>5.74</v>
          </cell>
          <cell r="H6">
            <v>5.1100000000000003</v>
          </cell>
          <cell r="I6">
            <v>6.33</v>
          </cell>
          <cell r="J6">
            <v>5.34</v>
          </cell>
          <cell r="K6">
            <v>5.26</v>
          </cell>
          <cell r="L6">
            <v>5.41</v>
          </cell>
          <cell r="M6">
            <v>5.55</v>
          </cell>
          <cell r="N6">
            <v>6.1</v>
          </cell>
          <cell r="O6">
            <v>6.28</v>
          </cell>
          <cell r="P6">
            <v>6.08</v>
          </cell>
          <cell r="Q6">
            <v>4.3099999999999996</v>
          </cell>
          <cell r="R6">
            <v>5.82</v>
          </cell>
        </row>
        <row r="7">
          <cell r="D7">
            <v>7.23</v>
          </cell>
          <cell r="E7">
            <v>5.63</v>
          </cell>
          <cell r="F7">
            <v>6.33</v>
          </cell>
          <cell r="G7">
            <v>5.87</v>
          </cell>
          <cell r="H7">
            <v>5.21</v>
          </cell>
          <cell r="I7">
            <v>6.27</v>
          </cell>
          <cell r="J7">
            <v>5.26</v>
          </cell>
          <cell r="K7">
            <v>5.39</v>
          </cell>
          <cell r="L7">
            <v>5.16</v>
          </cell>
          <cell r="M7">
            <v>5.12</v>
          </cell>
          <cell r="N7">
            <v>6.3</v>
          </cell>
          <cell r="O7">
            <v>6.29</v>
          </cell>
          <cell r="P7">
            <v>6.04</v>
          </cell>
          <cell r="Q7">
            <v>4.33</v>
          </cell>
          <cell r="R7">
            <v>5.53</v>
          </cell>
        </row>
        <row r="43">
          <cell r="E43">
            <v>2.3181510298534276</v>
          </cell>
          <cell r="F43">
            <v>0.14796708701191782</v>
          </cell>
          <cell r="G43">
            <v>0.34525653636115039</v>
          </cell>
          <cell r="H43">
            <v>0.98644724674613649</v>
          </cell>
          <cell r="I43">
            <v>0.69051307272229645</v>
          </cell>
          <cell r="J43">
            <v>0.83848015973421863</v>
          </cell>
          <cell r="K43">
            <v>0.5425459857103786</v>
          </cell>
          <cell r="L43">
            <v>1.3810261454445929</v>
          </cell>
          <cell r="M43">
            <v>0</v>
          </cell>
          <cell r="N43">
            <v>1.5783155947938252</v>
          </cell>
          <cell r="O43">
            <v>0</v>
          </cell>
          <cell r="P43">
            <v>1.183736696095369</v>
          </cell>
          <cell r="Q43">
            <v>0.88780252207152899</v>
          </cell>
          <cell r="R43">
            <v>0.64119071038499043</v>
          </cell>
          <cell r="S43">
            <v>0.19728944934922815</v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/>
          </cell>
          <cell r="Z43" t="str">
            <v/>
          </cell>
        </row>
        <row r="53">
          <cell r="E53">
            <v>1.3280095366370945</v>
          </cell>
          <cell r="F53">
            <v>-0.35617353002338026</v>
          </cell>
          <cell r="G53">
            <v>1.0660255040454656</v>
          </cell>
          <cell r="H53">
            <v>4.615909145662201E-2</v>
          </cell>
          <cell r="I53">
            <v>-0.68365357076291688</v>
          </cell>
          <cell r="J53">
            <v>0.80404147145383664</v>
          </cell>
          <cell r="K53">
            <v>0.16779453515987933</v>
          </cell>
          <cell r="L53">
            <v>-1.0579164744652452</v>
          </cell>
          <cell r="M53">
            <v>-1.6754502655740864</v>
          </cell>
          <cell r="N53">
            <v>0.19586425293755333</v>
          </cell>
          <cell r="O53">
            <v>0.308143124048251</v>
          </cell>
          <cell r="P53">
            <v>1.8987604647831458</v>
          </cell>
          <cell r="Q53">
            <v>-6.6119779654075644E-2</v>
          </cell>
          <cell r="R53">
            <v>-1.3105439344643179</v>
          </cell>
          <cell r="S53">
            <v>-0.66494042557780098</v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</row>
      </sheetData>
      <sheetData sheetId="9"/>
      <sheetData sheetId="10"/>
      <sheetData sheetId="11">
        <row r="4">
          <cell r="D4">
            <v>14.04</v>
          </cell>
          <cell r="E4">
            <v>13.79</v>
          </cell>
          <cell r="F4">
            <v>14.56</v>
          </cell>
          <cell r="G4">
            <v>14.36</v>
          </cell>
          <cell r="H4">
            <v>14.08</v>
          </cell>
          <cell r="I4">
            <v>14.36</v>
          </cell>
          <cell r="J4">
            <v>13.7</v>
          </cell>
          <cell r="K4">
            <v>13.89</v>
          </cell>
          <cell r="L4">
            <v>14.53</v>
          </cell>
          <cell r="M4">
            <v>13.91</v>
          </cell>
          <cell r="N4">
            <v>14.01</v>
          </cell>
          <cell r="O4">
            <v>13.3</v>
          </cell>
          <cell r="P4">
            <v>13.98</v>
          </cell>
          <cell r="Q4">
            <v>13.6</v>
          </cell>
          <cell r="R4">
            <v>14.54</v>
          </cell>
          <cell r="S4">
            <v>14.07</v>
          </cell>
          <cell r="T4">
            <v>13.73</v>
          </cell>
          <cell r="U4">
            <v>13.52</v>
          </cell>
        </row>
        <row r="5">
          <cell r="D5">
            <v>13.9</v>
          </cell>
          <cell r="E5">
            <v>12.93</v>
          </cell>
          <cell r="F5">
            <v>14.57</v>
          </cell>
          <cell r="G5">
            <v>14.32</v>
          </cell>
          <cell r="H5">
            <v>14.35</v>
          </cell>
          <cell r="I5">
            <v>14.37</v>
          </cell>
          <cell r="J5">
            <v>13.68</v>
          </cell>
          <cell r="K5">
            <v>13.86</v>
          </cell>
          <cell r="L5">
            <v>14.49</v>
          </cell>
          <cell r="M5">
            <v>13.89</v>
          </cell>
          <cell r="N5">
            <v>13.51</v>
          </cell>
          <cell r="O5">
            <v>13.02</v>
          </cell>
          <cell r="P5">
            <v>13.24</v>
          </cell>
          <cell r="Q5">
            <v>13.6</v>
          </cell>
          <cell r="R5">
            <v>14.5</v>
          </cell>
          <cell r="S5">
            <v>13.99</v>
          </cell>
          <cell r="T5">
            <v>13.7</v>
          </cell>
          <cell r="U5">
            <v>13.3</v>
          </cell>
        </row>
        <row r="6">
          <cell r="D6">
            <v>14.01</v>
          </cell>
          <cell r="E6">
            <v>13.76</v>
          </cell>
          <cell r="F6">
            <v>14.53</v>
          </cell>
          <cell r="G6">
            <v>14.26</v>
          </cell>
          <cell r="H6">
            <v>14.57</v>
          </cell>
          <cell r="I6">
            <v>14.55</v>
          </cell>
          <cell r="J6">
            <v>13.58</v>
          </cell>
          <cell r="K6">
            <v>13.94</v>
          </cell>
          <cell r="L6">
            <v>14.47</v>
          </cell>
          <cell r="M6">
            <v>13.95</v>
          </cell>
          <cell r="N6">
            <v>13.98</v>
          </cell>
          <cell r="O6">
            <v>13.72</v>
          </cell>
          <cell r="P6">
            <v>13.98</v>
          </cell>
          <cell r="Q6">
            <v>14.2</v>
          </cell>
          <cell r="R6">
            <v>14.54</v>
          </cell>
          <cell r="S6">
            <v>13.92</v>
          </cell>
          <cell r="T6">
            <v>13.72</v>
          </cell>
          <cell r="U6">
            <v>13.16</v>
          </cell>
        </row>
        <row r="7">
          <cell r="D7">
            <v>13.92</v>
          </cell>
          <cell r="E7">
            <v>13.79</v>
          </cell>
          <cell r="F7">
            <v>14.51</v>
          </cell>
          <cell r="G7">
            <v>14.28</v>
          </cell>
          <cell r="H7">
            <v>14.69</v>
          </cell>
          <cell r="I7">
            <v>14.43</v>
          </cell>
          <cell r="J7">
            <v>13.5</v>
          </cell>
          <cell r="K7">
            <v>13.98</v>
          </cell>
          <cell r="L7">
            <v>14.44</v>
          </cell>
          <cell r="M7">
            <v>14.01</v>
          </cell>
          <cell r="N7">
            <v>14.15</v>
          </cell>
          <cell r="O7">
            <v>13.02</v>
          </cell>
          <cell r="P7">
            <v>13.24</v>
          </cell>
          <cell r="Q7">
            <v>14.3</v>
          </cell>
          <cell r="R7">
            <v>14.57</v>
          </cell>
          <cell r="S7">
            <v>14.06</v>
          </cell>
          <cell r="T7">
            <v>13.72</v>
          </cell>
          <cell r="U7">
            <v>13.38</v>
          </cell>
        </row>
        <row r="43">
          <cell r="E43">
            <v>0</v>
          </cell>
          <cell r="F43">
            <v>0.97637399269608338</v>
          </cell>
          <cell r="G43">
            <v>3.7552845872925386E-2</v>
          </cell>
          <cell r="H43">
            <v>7.5105691745850772E-2</v>
          </cell>
          <cell r="I43">
            <v>0.75105691745852765</v>
          </cell>
          <cell r="J43">
            <v>7.5105691745854103E-2</v>
          </cell>
          <cell r="K43">
            <v>7.5105691745854103E-2</v>
          </cell>
          <cell r="L43">
            <v>0.11265853761877948</v>
          </cell>
          <cell r="M43">
            <v>3.7552845872928717E-2</v>
          </cell>
          <cell r="N43">
            <v>0.37552845872926049</v>
          </cell>
          <cell r="O43">
            <v>1.7274309101546077</v>
          </cell>
          <cell r="P43">
            <v>2.8164634404694637</v>
          </cell>
          <cell r="Q43">
            <v>2.2156179065026445</v>
          </cell>
          <cell r="R43">
            <v>0</v>
          </cell>
          <cell r="S43">
            <v>0.18776422936463025</v>
          </cell>
          <cell r="T43">
            <v>7.5105691745854103E-2</v>
          </cell>
          <cell r="U43">
            <v>0.6383983798397449</v>
          </cell>
          <cell r="V43">
            <v>0.18776422936463025</v>
          </cell>
          <cell r="W43" t="str">
            <v/>
          </cell>
          <cell r="X43" t="str">
            <v/>
          </cell>
          <cell r="Y43" t="str">
            <v/>
          </cell>
          <cell r="Z43" t="str">
            <v/>
          </cell>
        </row>
        <row r="53">
          <cell r="E53">
            <v>0</v>
          </cell>
          <cell r="F53">
            <v>-0.4005053132186091</v>
          </cell>
          <cell r="G53">
            <v>0.25865968145368473</v>
          </cell>
          <cell r="H53">
            <v>0.14462691866227526</v>
          </cell>
          <cell r="I53">
            <v>1.1013896113511732</v>
          </cell>
          <cell r="J53">
            <v>0.11125147589405758</v>
          </cell>
          <cell r="K53">
            <v>-0.15018949245697805</v>
          </cell>
          <cell r="L53">
            <v>-3.6156729665568564E-2</v>
          </cell>
          <cell r="M53">
            <v>0.20303394350665593</v>
          </cell>
          <cell r="N53">
            <v>-8.9001180715246458E-2</v>
          </cell>
          <cell r="O53">
            <v>0.14462691866227526</v>
          </cell>
          <cell r="P53">
            <v>-0.16409592694373548</v>
          </cell>
          <cell r="Q53">
            <v>3.9188332383681921</v>
          </cell>
          <cell r="R53">
            <v>6.1188311741731574E-2</v>
          </cell>
          <cell r="S53">
            <v>0.11403276279140946</v>
          </cell>
          <cell r="T53">
            <v>3.8938016562920452E-2</v>
          </cell>
          <cell r="U53">
            <v>-0.11959533658611225</v>
          </cell>
          <cell r="V53">
            <v>-0.12515791038081503</v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</row>
      </sheetData>
      <sheetData sheetId="12"/>
      <sheetData sheetId="13"/>
      <sheetData sheetId="14">
        <row r="4">
          <cell r="D4">
            <v>0.09</v>
          </cell>
          <cell r="E4">
            <v>0.11</v>
          </cell>
          <cell r="F4">
            <v>7.0000000000000007E-2</v>
          </cell>
          <cell r="G4">
            <v>7.0000000000000007E-2</v>
          </cell>
          <cell r="H4">
            <v>6.8000000000000005E-2</v>
          </cell>
          <cell r="I4">
            <v>0.1</v>
          </cell>
          <cell r="J4">
            <v>8.7999999999999995E-2</v>
          </cell>
          <cell r="K4">
            <v>0.04</v>
          </cell>
          <cell r="L4">
            <v>7.0000000000000007E-2</v>
          </cell>
          <cell r="M4">
            <v>1.7999999999999999E-2</v>
          </cell>
          <cell r="N4">
            <v>0.05</v>
          </cell>
          <cell r="O4">
            <v>0.13</v>
          </cell>
          <cell r="P4">
            <v>7.0000000000000007E-2</v>
          </cell>
          <cell r="Q4">
            <v>8.5999999999999993E-2</v>
          </cell>
          <cell r="R4">
            <v>4.8000000000000001E-2</v>
          </cell>
          <cell r="S4">
            <v>0.11</v>
          </cell>
          <cell r="T4">
            <v>0.11</v>
          </cell>
        </row>
        <row r="5">
          <cell r="D5">
            <v>0.09</v>
          </cell>
          <cell r="E5">
            <v>0.11</v>
          </cell>
          <cell r="F5">
            <v>7.0000000000000007E-2</v>
          </cell>
          <cell r="G5">
            <v>7.0000000000000007E-2</v>
          </cell>
          <cell r="H5">
            <v>7.1999999999999995E-2</v>
          </cell>
          <cell r="I5">
            <v>0.09</v>
          </cell>
          <cell r="J5">
            <v>8.5000000000000006E-2</v>
          </cell>
          <cell r="K5">
            <v>0.05</v>
          </cell>
          <cell r="L5">
            <v>0.08</v>
          </cell>
          <cell r="M5">
            <v>2.5999999999999999E-2</v>
          </cell>
          <cell r="N5">
            <v>6.9000000000000006E-2</v>
          </cell>
          <cell r="O5">
            <v>0.09</v>
          </cell>
          <cell r="P5">
            <v>0.08</v>
          </cell>
          <cell r="Q5">
            <v>9.6000000000000002E-2</v>
          </cell>
          <cell r="R5">
            <v>5.6000000000000001E-2</v>
          </cell>
          <cell r="S5">
            <v>0.1</v>
          </cell>
          <cell r="T5">
            <v>0.12</v>
          </cell>
        </row>
        <row r="6">
          <cell r="D6">
            <v>0.11</v>
          </cell>
          <cell r="E6">
            <v>0.15</v>
          </cell>
          <cell r="F6">
            <v>0.1</v>
          </cell>
          <cell r="G6">
            <v>0.06</v>
          </cell>
          <cell r="H6">
            <v>7.5999999999999998E-2</v>
          </cell>
          <cell r="I6">
            <v>0.09</v>
          </cell>
          <cell r="J6">
            <v>8.4000000000000005E-2</v>
          </cell>
          <cell r="K6">
            <v>0.04</v>
          </cell>
          <cell r="L6">
            <v>0.09</v>
          </cell>
          <cell r="M6">
            <v>0.12</v>
          </cell>
          <cell r="N6">
            <v>0.13</v>
          </cell>
          <cell r="O6">
            <v>1.1200000000000001</v>
          </cell>
          <cell r="P6">
            <v>7.0000000000000007E-2</v>
          </cell>
          <cell r="Q6">
            <v>9.0999999999999998E-2</v>
          </cell>
          <cell r="R6">
            <v>6.6000000000000003E-2</v>
          </cell>
          <cell r="S6">
            <v>0.09</v>
          </cell>
          <cell r="T6">
            <v>0.11</v>
          </cell>
        </row>
        <row r="7">
          <cell r="D7">
            <v>0.09</v>
          </cell>
          <cell r="E7">
            <v>0.14000000000000001</v>
          </cell>
          <cell r="F7">
            <v>0.08</v>
          </cell>
          <cell r="G7">
            <v>7.0000000000000007E-2</v>
          </cell>
          <cell r="H7">
            <v>7.1999999999999995E-2</v>
          </cell>
          <cell r="I7">
            <v>0.08</v>
          </cell>
          <cell r="J7">
            <v>8.1000000000000003E-2</v>
          </cell>
          <cell r="K7">
            <v>0.05</v>
          </cell>
          <cell r="L7">
            <v>0.08</v>
          </cell>
          <cell r="M7">
            <v>0.1</v>
          </cell>
          <cell r="N7">
            <v>0.15</v>
          </cell>
          <cell r="O7">
            <v>0.08</v>
          </cell>
          <cell r="P7">
            <v>7.0000000000000007E-2</v>
          </cell>
          <cell r="Q7">
            <v>0.09</v>
          </cell>
          <cell r="R7">
            <v>6.4000000000000001E-2</v>
          </cell>
          <cell r="S7">
            <v>0.11</v>
          </cell>
          <cell r="T7">
            <v>0.09</v>
          </cell>
        </row>
        <row r="43">
          <cell r="E43">
            <v>0.77334667746955954</v>
          </cell>
          <cell r="F43">
            <v>0.38667333873478077</v>
          </cell>
          <cell r="G43">
            <v>0</v>
          </cell>
          <cell r="H43">
            <v>0</v>
          </cell>
          <cell r="I43">
            <v>0.85068134521651806</v>
          </cell>
          <cell r="J43">
            <v>0</v>
          </cell>
          <cell r="K43">
            <v>7.7334667746956257E-2</v>
          </cell>
          <cell r="L43">
            <v>0.38667333873477977</v>
          </cell>
          <cell r="M43">
            <v>0.77334667746955954</v>
          </cell>
          <cell r="N43">
            <v>1.044018014583904</v>
          </cell>
          <cell r="O43">
            <v>3.0933867098782484</v>
          </cell>
          <cell r="P43">
            <v>1.9333666936739053</v>
          </cell>
          <cell r="Q43">
            <v>0.38667333873477977</v>
          </cell>
          <cell r="R43">
            <v>7.7334667746956257E-2</v>
          </cell>
          <cell r="S43">
            <v>0.27067133711434688</v>
          </cell>
          <cell r="T43">
            <v>0</v>
          </cell>
          <cell r="U43">
            <v>0.38667333873478077</v>
          </cell>
          <cell r="V43" t="str">
            <v/>
          </cell>
          <cell r="W43" t="str">
            <v/>
          </cell>
          <cell r="X43" t="str">
            <v/>
          </cell>
          <cell r="Y43" t="str">
            <v/>
          </cell>
          <cell r="Z43" t="str">
            <v/>
          </cell>
        </row>
        <row r="53">
          <cell r="E53">
            <v>-0.43061001094092372</v>
          </cell>
          <cell r="F53">
            <v>1.2610721748984197</v>
          </cell>
          <cell r="G53">
            <v>-0.43061001094092372</v>
          </cell>
          <cell r="H53">
            <v>-0.12303143169740689</v>
          </cell>
          <cell r="I53">
            <v>-0.61515715848703401</v>
          </cell>
          <cell r="J53">
            <v>0.18454714754611035</v>
          </cell>
          <cell r="K53">
            <v>3.0757857924351723E-2</v>
          </cell>
          <cell r="L53">
            <v>-1.1995564590497161</v>
          </cell>
          <cell r="M53">
            <v>-0.43061001094092372</v>
          </cell>
          <cell r="N53">
            <v>0.99963038254143011</v>
          </cell>
          <cell r="O53">
            <v>2.9527543607377629</v>
          </cell>
          <cell r="P53">
            <v>0.95349359565490255</v>
          </cell>
          <cell r="Q53">
            <v>-0.89197787980619914</v>
          </cell>
          <cell r="R53">
            <v>-0.49212572678962713</v>
          </cell>
          <cell r="S53">
            <v>-4.6136786886527587E-2</v>
          </cell>
          <cell r="T53">
            <v>0.49212572678962713</v>
          </cell>
          <cell r="U53">
            <v>-0.2768207213191653</v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</row>
      </sheetData>
      <sheetData sheetId="15"/>
      <sheetData sheetId="16"/>
      <sheetData sheetId="17">
        <row r="4">
          <cell r="D4">
            <v>0.05</v>
          </cell>
          <cell r="E4">
            <v>0.15</v>
          </cell>
          <cell r="F4">
            <v>0.05</v>
          </cell>
          <cell r="G4">
            <v>0.09</v>
          </cell>
          <cell r="H4">
            <v>0.01</v>
          </cell>
          <cell r="I4">
            <v>7.9000000000000001E-2</v>
          </cell>
          <cell r="J4">
            <v>1.4999999999999999E-2</v>
          </cell>
          <cell r="K4">
            <v>0.97</v>
          </cell>
          <cell r="L4">
            <v>0.02</v>
          </cell>
          <cell r="M4">
            <v>0.02</v>
          </cell>
          <cell r="N4">
            <v>0.14699999999999999</v>
          </cell>
          <cell r="O4">
            <v>0.26100000000000001</v>
          </cell>
          <cell r="P4">
            <v>0.05</v>
          </cell>
          <cell r="Q4">
            <v>0.04</v>
          </cell>
        </row>
        <row r="5">
          <cell r="D5">
            <v>0.04</v>
          </cell>
          <cell r="E5">
            <v>0.12</v>
          </cell>
          <cell r="F5">
            <v>4.5999999999999999E-2</v>
          </cell>
          <cell r="G5">
            <v>0.08</v>
          </cell>
          <cell r="H5">
            <v>0.01</v>
          </cell>
          <cell r="I5">
            <v>8.4000000000000005E-2</v>
          </cell>
          <cell r="J5">
            <v>3.3000000000000002E-2</v>
          </cell>
          <cell r="K5">
            <v>1.02</v>
          </cell>
          <cell r="L5">
            <v>0.02</v>
          </cell>
          <cell r="M5">
            <v>0.04</v>
          </cell>
          <cell r="N5">
            <v>0.13200000000000001</v>
          </cell>
          <cell r="O5">
            <v>0.22500000000000001</v>
          </cell>
          <cell r="P5">
            <v>0.05</v>
          </cell>
          <cell r="Q5">
            <v>0.03</v>
          </cell>
        </row>
        <row r="6">
          <cell r="D6">
            <v>0.02</v>
          </cell>
          <cell r="E6">
            <v>0.1</v>
          </cell>
          <cell r="F6">
            <v>3.7999999999999999E-2</v>
          </cell>
          <cell r="G6">
            <v>0.11</v>
          </cell>
          <cell r="H6">
            <v>1.0999999999999999E-2</v>
          </cell>
          <cell r="I6">
            <v>4.3999999999999997E-2</v>
          </cell>
          <cell r="J6">
            <v>6.25E-2</v>
          </cell>
          <cell r="K6">
            <v>1.085</v>
          </cell>
          <cell r="L6">
            <v>0.01</v>
          </cell>
          <cell r="M6">
            <v>0.03</v>
          </cell>
          <cell r="N6">
            <v>7.8E-2</v>
          </cell>
          <cell r="O6">
            <v>0.17100000000000001</v>
          </cell>
          <cell r="P6">
            <v>0.05</v>
          </cell>
          <cell r="Q6">
            <v>0.05</v>
          </cell>
        </row>
        <row r="7">
          <cell r="D7">
            <v>0.02</v>
          </cell>
          <cell r="E7">
            <v>0.14000000000000001</v>
          </cell>
          <cell r="F7">
            <v>0.04</v>
          </cell>
          <cell r="G7">
            <v>0.13</v>
          </cell>
          <cell r="H7">
            <v>8.9999999999999993E-3</v>
          </cell>
          <cell r="I7">
            <v>3.9E-2</v>
          </cell>
          <cell r="J7">
            <v>9.4E-2</v>
          </cell>
          <cell r="K7">
            <v>1.07</v>
          </cell>
          <cell r="L7">
            <v>0.02</v>
          </cell>
          <cell r="M7">
            <v>0.03</v>
          </cell>
          <cell r="N7">
            <v>7.1999999999999995E-2</v>
          </cell>
          <cell r="O7">
            <v>0.16700000000000001</v>
          </cell>
          <cell r="P7">
            <v>0.05</v>
          </cell>
          <cell r="Q7">
            <v>0.04</v>
          </cell>
        </row>
        <row r="43">
          <cell r="E43">
            <v>0.16628438804938539</v>
          </cell>
          <cell r="F43">
            <v>0.33256877609877189</v>
          </cell>
          <cell r="G43">
            <v>3.3256877609877208E-2</v>
          </cell>
          <cell r="H43">
            <v>0.16628438804938583</v>
          </cell>
          <cell r="I43">
            <v>3.3256877609877188E-2</v>
          </cell>
          <cell r="J43">
            <v>3.3256877609877188E-2</v>
          </cell>
          <cell r="K43">
            <v>0.16628438804938539</v>
          </cell>
          <cell r="L43">
            <v>0.16628438804938606</v>
          </cell>
          <cell r="M43">
            <v>0.16628438804938594</v>
          </cell>
          <cell r="N43">
            <v>0.33256877609877078</v>
          </cell>
          <cell r="O43">
            <v>9.9770632829631389E-2</v>
          </cell>
          <cell r="P43">
            <v>3.6915134146963675</v>
          </cell>
          <cell r="Q43">
            <v>0</v>
          </cell>
          <cell r="R43">
            <v>0</v>
          </cell>
          <cell r="S43" t="str">
            <v/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/>
          </cell>
          <cell r="Z43" t="str">
            <v/>
          </cell>
        </row>
        <row r="53">
          <cell r="E53">
            <v>-6.8854223090080394E-2</v>
          </cell>
          <cell r="F53">
            <v>0.19624160502881216</v>
          </cell>
          <cell r="G53">
            <v>-4.4111945798983761E-2</v>
          </cell>
          <cell r="H53">
            <v>3.7184108157476616E-2</v>
          </cell>
          <cell r="I53">
            <v>-0.11480416663068843</v>
          </cell>
          <cell r="J53">
            <v>-0.1218733887138589</v>
          </cell>
          <cell r="K53">
            <v>-6.5319612048495151E-2</v>
          </cell>
          <cell r="L53">
            <v>3.5364490393268575</v>
          </cell>
          <cell r="M53">
            <v>-0.10420033350593273</v>
          </cell>
          <cell r="N53">
            <v>1.9511052949550457E-2</v>
          </cell>
          <cell r="O53">
            <v>0.1927069939872269</v>
          </cell>
          <cell r="P53">
            <v>0.60272187481111394</v>
          </cell>
          <cell r="Q53">
            <v>1.9511052949550457E-2</v>
          </cell>
          <cell r="R53">
            <v>-5.1181167882154231E-2</v>
          </cell>
          <cell r="S53" t="str">
            <v/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</row>
      </sheetData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A(CSB)_Ellipse Plot Point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A(SHN)_Ellipse Plot Points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(CSB)_Ellipse Plot Points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&amp;V(CSB)_Ellipse Plot Point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ist(SHN)_Ellipse Plot Point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D263E-28FA-4626-992E-6B3CE94A0861}">
  <dimension ref="A1:C32"/>
  <sheetViews>
    <sheetView zoomScale="120" zoomScaleNormal="120" workbookViewId="0">
      <selection activeCell="A2" sqref="A2:A16"/>
    </sheetView>
  </sheetViews>
  <sheetFormatPr defaultColWidth="8.7265625" defaultRowHeight="16" x14ac:dyDescent="0.45"/>
  <cols>
    <col min="1" max="16384" width="8.7265625" style="2"/>
  </cols>
  <sheetData>
    <row r="1" spans="1:3" x14ac:dyDescent="0.45">
      <c r="A1" s="2" t="s">
        <v>5</v>
      </c>
      <c r="B1" s="3" t="s">
        <v>3</v>
      </c>
      <c r="C1" s="3" t="s">
        <v>4</v>
      </c>
    </row>
    <row r="2" spans="1:3" x14ac:dyDescent="0.45">
      <c r="A2" s="5" t="s">
        <v>1</v>
      </c>
      <c r="B2" s="4">
        <v>51.32</v>
      </c>
      <c r="C2" s="4">
        <v>50.495000000000005</v>
      </c>
    </row>
    <row r="3" spans="1:3" x14ac:dyDescent="0.45">
      <c r="A3" s="6" t="s">
        <v>2</v>
      </c>
      <c r="B3" s="4">
        <v>57.344999999999999</v>
      </c>
      <c r="C3" s="4">
        <v>54.895000000000003</v>
      </c>
    </row>
    <row r="4" spans="1:3" x14ac:dyDescent="0.45">
      <c r="A4" s="6" t="s">
        <v>6</v>
      </c>
      <c r="B4" s="4">
        <v>53.56</v>
      </c>
      <c r="C4" s="4">
        <v>51.064999999999998</v>
      </c>
    </row>
    <row r="5" spans="1:3" x14ac:dyDescent="0.45">
      <c r="A5" s="6" t="s">
        <v>7</v>
      </c>
      <c r="B5" s="4">
        <v>51.914999999999999</v>
      </c>
      <c r="C5" s="4">
        <v>52.16</v>
      </c>
    </row>
    <row r="6" spans="1:3" x14ac:dyDescent="0.45">
      <c r="A6" s="6" t="s">
        <v>8</v>
      </c>
      <c r="B6" s="4">
        <v>50.39</v>
      </c>
      <c r="C6" s="4">
        <v>50.575000000000003</v>
      </c>
    </row>
    <row r="7" spans="1:3" x14ac:dyDescent="0.45">
      <c r="A7" s="7" t="s">
        <v>9</v>
      </c>
      <c r="B7" s="4">
        <v>50.769999999999996</v>
      </c>
      <c r="C7" s="4">
        <v>50.56</v>
      </c>
    </row>
    <row r="8" spans="1:3" x14ac:dyDescent="0.45">
      <c r="A8" s="7" t="s">
        <v>10</v>
      </c>
      <c r="B8" s="4">
        <v>53.269999999999996</v>
      </c>
      <c r="C8" s="4">
        <v>53.355000000000004</v>
      </c>
    </row>
    <row r="9" spans="1:3" x14ac:dyDescent="0.45">
      <c r="A9" s="7" t="s">
        <v>11</v>
      </c>
      <c r="B9" s="4">
        <v>51.64</v>
      </c>
      <c r="C9" s="4">
        <v>51.230000000000004</v>
      </c>
    </row>
    <row r="10" spans="1:3" x14ac:dyDescent="0.45">
      <c r="A10" s="7" t="s">
        <v>12</v>
      </c>
      <c r="B10" s="4">
        <v>49.05</v>
      </c>
      <c r="C10" s="4">
        <v>50.355000000000004</v>
      </c>
    </row>
    <row r="11" spans="1:3" x14ac:dyDescent="0.45">
      <c r="A11" s="7" t="s">
        <v>13</v>
      </c>
      <c r="B11" s="4">
        <v>53.97</v>
      </c>
      <c r="C11" s="4">
        <v>53.459999999999994</v>
      </c>
    </row>
    <row r="12" spans="1:3" x14ac:dyDescent="0.45">
      <c r="A12" s="7" t="s">
        <v>14</v>
      </c>
      <c r="B12" s="4">
        <v>50.45</v>
      </c>
      <c r="C12" s="4">
        <v>47.95</v>
      </c>
    </row>
    <row r="13" spans="1:3" x14ac:dyDescent="0.45">
      <c r="A13" s="7" t="s">
        <v>15</v>
      </c>
      <c r="B13" s="4">
        <v>52.489999999999995</v>
      </c>
      <c r="C13" s="4">
        <v>52.564999999999998</v>
      </c>
    </row>
    <row r="14" spans="1:3" x14ac:dyDescent="0.45">
      <c r="A14" s="7" t="s">
        <v>16</v>
      </c>
      <c r="B14" s="4">
        <v>51.150000000000006</v>
      </c>
      <c r="C14" s="4">
        <v>50.72</v>
      </c>
    </row>
    <row r="15" spans="1:3" x14ac:dyDescent="0.45">
      <c r="A15" s="7" t="s">
        <v>17</v>
      </c>
      <c r="B15" s="4">
        <v>54.814999999999998</v>
      </c>
      <c r="C15" s="4">
        <v>55.04</v>
      </c>
    </row>
    <row r="16" spans="1:3" x14ac:dyDescent="0.45">
      <c r="A16" s="7" t="s">
        <v>18</v>
      </c>
      <c r="B16" s="4">
        <v>52.114999999999995</v>
      </c>
      <c r="C16" s="4">
        <v>51.935000000000002</v>
      </c>
    </row>
    <row r="17" spans="2:3" x14ac:dyDescent="0.45">
      <c r="B17" s="4" t="str">
        <f>IFERROR(AVERAGEIF(#REF!,"&lt;&gt;0"), "")</f>
        <v/>
      </c>
      <c r="C17" s="4" t="str">
        <f>IFERROR(AVERAGEIF(#REF!,"&lt;&gt;0"), "")</f>
        <v/>
      </c>
    </row>
    <row r="18" spans="2:3" x14ac:dyDescent="0.45">
      <c r="B18" s="4" t="str">
        <f>IFERROR(AVERAGEIF(#REF!,"&lt;&gt;0"), "")</f>
        <v/>
      </c>
      <c r="C18" s="4" t="str">
        <f>IFERROR(AVERAGEIF(#REF!,"&lt;&gt;0"), "")</f>
        <v/>
      </c>
    </row>
    <row r="19" spans="2:3" x14ac:dyDescent="0.45">
      <c r="B19" s="4" t="str">
        <f>IFERROR(AVERAGEIF(#REF!,"&lt;&gt;0"), "")</f>
        <v/>
      </c>
      <c r="C19" s="4" t="str">
        <f>IFERROR(AVERAGEIF(#REF!,"&lt;&gt;0"), "")</f>
        <v/>
      </c>
    </row>
    <row r="20" spans="2:3" x14ac:dyDescent="0.45">
      <c r="B20" s="4" t="str">
        <f>IFERROR(AVERAGEIF(#REF!,"&lt;&gt;0"), "")</f>
        <v/>
      </c>
      <c r="C20" s="4" t="str">
        <f>IFERROR(AVERAGEIF(#REF!,"&lt;&gt;0"), "")</f>
        <v/>
      </c>
    </row>
    <row r="21" spans="2:3" x14ac:dyDescent="0.45">
      <c r="B21" s="4" t="str">
        <f>IFERROR(AVERAGEIF(#REF!,"&lt;&gt;0"), "")</f>
        <v/>
      </c>
      <c r="C21" s="4" t="str">
        <f>IFERROR(AVERAGEIF(#REF!,"&lt;&gt;0"), "")</f>
        <v/>
      </c>
    </row>
    <row r="22" spans="2:3" x14ac:dyDescent="0.45">
      <c r="B22" s="4" t="str">
        <f>IFERROR(AVERAGEIF(#REF!,"&lt;&gt;0"), "")</f>
        <v/>
      </c>
      <c r="C22" s="4" t="str">
        <f>IFERROR(AVERAGEIF(#REF!,"&lt;&gt;0"), "")</f>
        <v/>
      </c>
    </row>
    <row r="23" spans="2:3" x14ac:dyDescent="0.45">
      <c r="B23" s="4" t="str">
        <f>IFERROR(AVERAGEIF(#REF!,"&lt;&gt;0"), "")</f>
        <v/>
      </c>
      <c r="C23" s="4" t="str">
        <f>IFERROR(AVERAGEIF(#REF!,"&lt;&gt;0"), "")</f>
        <v/>
      </c>
    </row>
    <row r="24" spans="2:3" x14ac:dyDescent="0.45">
      <c r="B24" s="4" t="str">
        <f>IFERROR(AVERAGEIF(#REF!,"&lt;&gt;0"), "")</f>
        <v/>
      </c>
      <c r="C24" s="4" t="str">
        <f>IFERROR(AVERAGEIF(#REF!,"&lt;&gt;0"), "")</f>
        <v/>
      </c>
    </row>
    <row r="25" spans="2:3" x14ac:dyDescent="0.45">
      <c r="B25" s="4" t="str">
        <f>IFERROR(AVERAGEIF(#REF!,"&lt;&gt;0"), "")</f>
        <v/>
      </c>
      <c r="C25" s="4" t="str">
        <f>IFERROR(AVERAGEIF(#REF!,"&lt;&gt;0"), "")</f>
        <v/>
      </c>
    </row>
    <row r="26" spans="2:3" x14ac:dyDescent="0.45">
      <c r="B26" s="4" t="str">
        <f>IFERROR(AVERAGEIF(#REF!,"&lt;&gt;0"), "")</f>
        <v/>
      </c>
      <c r="C26" s="4" t="str">
        <f>IFERROR(AVERAGEIF(#REF!,"&lt;&gt;0"), "")</f>
        <v/>
      </c>
    </row>
    <row r="27" spans="2:3" x14ac:dyDescent="0.45">
      <c r="B27" s="4" t="str">
        <f>IFERROR(AVERAGEIF(#REF!,"&lt;&gt;0"), "")</f>
        <v/>
      </c>
      <c r="C27" s="4" t="str">
        <f>IFERROR(AVERAGEIF(#REF!,"&lt;&gt;0"), "")</f>
        <v/>
      </c>
    </row>
    <row r="28" spans="2:3" x14ac:dyDescent="0.45">
      <c r="B28" s="4" t="str">
        <f>IFERROR(AVERAGEIF(#REF!,"&lt;&gt;0"), "")</f>
        <v/>
      </c>
      <c r="C28" s="4" t="str">
        <f>IFERROR(AVERAGEIF(#REF!,"&lt;&gt;0"), "")</f>
        <v/>
      </c>
    </row>
    <row r="29" spans="2:3" x14ac:dyDescent="0.45">
      <c r="B29" s="4" t="str">
        <f>IFERROR(AVERAGEIF(#REF!,"&lt;&gt;0"), "")</f>
        <v/>
      </c>
      <c r="C29" s="4" t="str">
        <f>IFERROR(AVERAGEIF(#REF!,"&lt;&gt;0"), "")</f>
        <v/>
      </c>
    </row>
    <row r="30" spans="2:3" x14ac:dyDescent="0.45">
      <c r="B30" s="4" t="str">
        <f>IFERROR(AVERAGEIF(#REF!,"&lt;&gt;0"), "")</f>
        <v/>
      </c>
      <c r="C30" s="4" t="str">
        <f>IFERROR(AVERAGEIF(#REF!,"&lt;&gt;0"), "")</f>
        <v/>
      </c>
    </row>
    <row r="31" spans="2:3" x14ac:dyDescent="0.45">
      <c r="B31" s="4" t="str">
        <f>IFERROR(AVERAGEIF(#REF!,"&lt;&gt;0"), "")</f>
        <v/>
      </c>
      <c r="C31" s="4" t="str">
        <f>IFERROR(AVERAGEIF(#REF!,"&lt;&gt;0"), "")</f>
        <v/>
      </c>
    </row>
    <row r="32" spans="2:3" x14ac:dyDescent="0.45">
      <c r="B32" s="4" t="str">
        <f>IFERROR(AVERAGEIF(#REF!,"&lt;&gt;0"), "")</f>
        <v/>
      </c>
      <c r="C32" s="4" t="str">
        <f>IFERROR(AVERAGEIF(#REF!,"&lt;&gt;0"), "")</f>
        <v/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87646-27F1-4CFD-9D69-C9CA174C859D}">
  <dimension ref="A1:C32"/>
  <sheetViews>
    <sheetView zoomScale="110" zoomScaleNormal="110" workbookViewId="0">
      <selection activeCell="G8" sqref="G8"/>
    </sheetView>
  </sheetViews>
  <sheetFormatPr defaultColWidth="8.7265625" defaultRowHeight="16" x14ac:dyDescent="0.45"/>
  <cols>
    <col min="1" max="16384" width="8.7265625" style="2"/>
  </cols>
  <sheetData>
    <row r="1" spans="1:3" x14ac:dyDescent="0.45">
      <c r="A1" s="2" t="s">
        <v>5</v>
      </c>
      <c r="B1" s="1" t="s">
        <v>3</v>
      </c>
      <c r="C1" s="1" t="s">
        <v>4</v>
      </c>
    </row>
    <row r="2" spans="1:3" x14ac:dyDescent="0.45">
      <c r="A2" s="8" t="s">
        <v>1</v>
      </c>
      <c r="B2" s="4">
        <v>2.1550000000000002</v>
      </c>
      <c r="C2" s="4">
        <v>1.615</v>
      </c>
    </row>
    <row r="3" spans="1:3" x14ac:dyDescent="0.45">
      <c r="A3" s="9" t="s">
        <v>2</v>
      </c>
      <c r="B3" s="4">
        <v>2.6500000000000004</v>
      </c>
      <c r="C3" s="4">
        <v>2.2549999999999999</v>
      </c>
    </row>
    <row r="4" spans="1:3" x14ac:dyDescent="0.45">
      <c r="A4" s="10" t="s">
        <v>6</v>
      </c>
      <c r="B4" s="4">
        <v>0</v>
      </c>
      <c r="C4" s="4">
        <v>0</v>
      </c>
    </row>
    <row r="5" spans="1:3" x14ac:dyDescent="0.45">
      <c r="A5" s="10" t="s">
        <v>7</v>
      </c>
      <c r="B5" s="4">
        <v>1.6749999999999998</v>
      </c>
      <c r="C5" s="4">
        <v>1.65</v>
      </c>
    </row>
    <row r="6" spans="1:3" x14ac:dyDescent="0.45">
      <c r="A6" s="10" t="s">
        <v>8</v>
      </c>
      <c r="B6" s="4">
        <v>1.95</v>
      </c>
      <c r="C6" s="4">
        <v>2.1749999999999998</v>
      </c>
    </row>
    <row r="7" spans="1:3" x14ac:dyDescent="0.45">
      <c r="A7" s="10" t="s">
        <v>9</v>
      </c>
      <c r="B7" s="4">
        <v>0.66</v>
      </c>
      <c r="C7" s="4">
        <v>0.47000000000000003</v>
      </c>
    </row>
    <row r="8" spans="1:3" x14ac:dyDescent="0.45">
      <c r="A8" s="10" t="s">
        <v>10</v>
      </c>
      <c r="B8" s="4">
        <v>1.2450000000000001</v>
      </c>
      <c r="C8" s="4">
        <v>2.06</v>
      </c>
    </row>
    <row r="9" spans="1:3" x14ac:dyDescent="0.45">
      <c r="A9" s="10" t="s">
        <v>11</v>
      </c>
      <c r="B9" s="4">
        <v>1.2250000000000001</v>
      </c>
      <c r="C9" s="4">
        <v>0.64999999999999991</v>
      </c>
    </row>
    <row r="10" spans="1:3" x14ac:dyDescent="0.45">
      <c r="A10" s="10" t="s">
        <v>12</v>
      </c>
      <c r="B10" s="4">
        <v>17.344999999999999</v>
      </c>
      <c r="C10" s="4">
        <v>5.9499999999999993</v>
      </c>
    </row>
    <row r="11" spans="1:3" x14ac:dyDescent="0.45">
      <c r="A11" s="10" t="s">
        <v>13</v>
      </c>
      <c r="B11" s="4">
        <v>2.7949999999999999</v>
      </c>
      <c r="C11" s="4">
        <v>3.7850000000000001</v>
      </c>
    </row>
    <row r="12" spans="1:3" x14ac:dyDescent="0.45">
      <c r="A12" s="10" t="s">
        <v>14</v>
      </c>
      <c r="B12" s="4">
        <v>1.9</v>
      </c>
      <c r="C12" s="4">
        <v>1.1499999999999999</v>
      </c>
    </row>
    <row r="13" spans="1:3" x14ac:dyDescent="0.45">
      <c r="A13" s="10" t="s">
        <v>15</v>
      </c>
      <c r="B13" s="4">
        <v>1.4550000000000001</v>
      </c>
      <c r="C13" s="4">
        <v>1.01</v>
      </c>
    </row>
    <row r="14" spans="1:3" x14ac:dyDescent="0.45">
      <c r="A14" s="10" t="s">
        <v>16</v>
      </c>
      <c r="B14" s="4">
        <v>1.23</v>
      </c>
      <c r="C14" s="4">
        <v>1.4449999999999998</v>
      </c>
    </row>
    <row r="15" spans="1:3" x14ac:dyDescent="0.45">
      <c r="A15" s="10" t="s">
        <v>17</v>
      </c>
      <c r="B15" s="4">
        <v>1.75</v>
      </c>
      <c r="C15" s="4">
        <v>1.585</v>
      </c>
    </row>
    <row r="16" spans="1:3" x14ac:dyDescent="0.45">
      <c r="A16" s="10" t="s">
        <v>18</v>
      </c>
      <c r="B16" s="4">
        <v>1.7949999999999999</v>
      </c>
      <c r="C16" s="4">
        <v>2.0549999999999997</v>
      </c>
    </row>
    <row r="17" spans="2:3" x14ac:dyDescent="0.45">
      <c r="B17" s="4" t="str">
        <f>IFERROR(AVERAGEIF(#REF!,"&lt;&gt;0"), "")</f>
        <v/>
      </c>
      <c r="C17" s="4" t="str">
        <f>IFERROR(AVERAGEIF(#REF!,"&lt;&gt;0"), "")</f>
        <v/>
      </c>
    </row>
    <row r="18" spans="2:3" x14ac:dyDescent="0.45">
      <c r="B18" s="4" t="str">
        <f>IFERROR(AVERAGEIF(#REF!,"&lt;&gt;0"), "")</f>
        <v/>
      </c>
      <c r="C18" s="4" t="str">
        <f>IFERROR(AVERAGEIF(#REF!,"&lt;&gt;0"), "")</f>
        <v/>
      </c>
    </row>
    <row r="19" spans="2:3" x14ac:dyDescent="0.45">
      <c r="B19" s="4" t="str">
        <f>IFERROR(AVERAGEIF(#REF!,"&lt;&gt;0"), "")</f>
        <v/>
      </c>
      <c r="C19" s="4" t="str">
        <f>IFERROR(AVERAGEIF(#REF!,"&lt;&gt;0"), "")</f>
        <v/>
      </c>
    </row>
    <row r="20" spans="2:3" x14ac:dyDescent="0.45">
      <c r="B20" s="4" t="str">
        <f>IFERROR(AVERAGEIF(#REF!,"&lt;&gt;0"), "")</f>
        <v/>
      </c>
      <c r="C20" s="4" t="str">
        <f>IFERROR(AVERAGEIF(#REF!,"&lt;&gt;0"), "")</f>
        <v/>
      </c>
    </row>
    <row r="21" spans="2:3" x14ac:dyDescent="0.45">
      <c r="B21" s="4" t="str">
        <f>IFERROR(AVERAGEIF(#REF!,"&lt;&gt;0"), "")</f>
        <v/>
      </c>
      <c r="C21" s="4" t="str">
        <f>IFERROR(AVERAGEIF(#REF!,"&lt;&gt;0"), "")</f>
        <v/>
      </c>
    </row>
    <row r="22" spans="2:3" x14ac:dyDescent="0.45">
      <c r="B22" s="4" t="str">
        <f>IFERROR(AVERAGEIF(#REF!,"&lt;&gt;0"), "")</f>
        <v/>
      </c>
      <c r="C22" s="4" t="str">
        <f>IFERROR(AVERAGEIF(#REF!,"&lt;&gt;0"), "")</f>
        <v/>
      </c>
    </row>
    <row r="23" spans="2:3" x14ac:dyDescent="0.45">
      <c r="B23" s="4" t="str">
        <f>IFERROR(AVERAGEIF(#REF!,"&lt;&gt;0"), "")</f>
        <v/>
      </c>
      <c r="C23" s="4" t="str">
        <f>IFERROR(AVERAGEIF(#REF!,"&lt;&gt;0"), "")</f>
        <v/>
      </c>
    </row>
    <row r="24" spans="2:3" x14ac:dyDescent="0.45">
      <c r="B24" s="4" t="str">
        <f>IFERROR(AVERAGEIF(#REF!,"&lt;&gt;0"), "")</f>
        <v/>
      </c>
      <c r="C24" s="4" t="str">
        <f>IFERROR(AVERAGEIF(#REF!,"&lt;&gt;0"), "")</f>
        <v/>
      </c>
    </row>
    <row r="25" spans="2:3" x14ac:dyDescent="0.45">
      <c r="B25" s="4" t="str">
        <f>IFERROR(AVERAGEIF(#REF!,"&lt;&gt;0"), "")</f>
        <v/>
      </c>
      <c r="C25" s="4" t="str">
        <f>IFERROR(AVERAGEIF(#REF!,"&lt;&gt;0"), "")</f>
        <v/>
      </c>
    </row>
    <row r="26" spans="2:3" x14ac:dyDescent="0.45">
      <c r="B26" s="4" t="str">
        <f>IFERROR(AVERAGEIF(#REF!,"&lt;&gt;0"), "")</f>
        <v/>
      </c>
      <c r="C26" s="4" t="str">
        <f>IFERROR(AVERAGEIF(#REF!,"&lt;&gt;0"), "")</f>
        <v/>
      </c>
    </row>
    <row r="27" spans="2:3" x14ac:dyDescent="0.45">
      <c r="B27" s="4" t="str">
        <f>IFERROR(AVERAGEIF(#REF!,"&lt;&gt;0"), "")</f>
        <v/>
      </c>
      <c r="C27" s="4" t="str">
        <f>IFERROR(AVERAGEIF(#REF!,"&lt;&gt;0"), "")</f>
        <v/>
      </c>
    </row>
    <row r="28" spans="2:3" x14ac:dyDescent="0.45">
      <c r="B28" s="4" t="str">
        <f>IFERROR(AVERAGEIF(#REF!,"&lt;&gt;0"), "")</f>
        <v/>
      </c>
      <c r="C28" s="4" t="str">
        <f>IFERROR(AVERAGEIF(#REF!,"&lt;&gt;0"), "")</f>
        <v/>
      </c>
    </row>
    <row r="29" spans="2:3" x14ac:dyDescent="0.45">
      <c r="B29" s="4" t="str">
        <f>IFERROR(AVERAGEIF(#REF!,"&lt;&gt;0"), "")</f>
        <v/>
      </c>
      <c r="C29" s="4" t="str">
        <f>IFERROR(AVERAGEIF(#REF!,"&lt;&gt;0"), "")</f>
        <v/>
      </c>
    </row>
    <row r="30" spans="2:3" x14ac:dyDescent="0.45">
      <c r="B30" s="4" t="str">
        <f>IFERROR(AVERAGEIF(#REF!,"&lt;&gt;0"), "")</f>
        <v/>
      </c>
      <c r="C30" s="4" t="str">
        <f>IFERROR(AVERAGEIF(#REF!,"&lt;&gt;0"), "")</f>
        <v/>
      </c>
    </row>
    <row r="31" spans="2:3" x14ac:dyDescent="0.45">
      <c r="B31" s="4" t="str">
        <f>IFERROR(AVERAGEIF(#REF!,"&lt;&gt;0"), "")</f>
        <v/>
      </c>
      <c r="C31" s="4" t="str">
        <f>IFERROR(AVERAGEIF(#REF!,"&lt;&gt;0"), "")</f>
        <v/>
      </c>
    </row>
    <row r="32" spans="2:3" x14ac:dyDescent="0.45">
      <c r="B32" s="4" t="str">
        <f>IFERROR(AVERAGEIF(#REF!,"&lt;&gt;0"), "")</f>
        <v/>
      </c>
      <c r="C32" s="4" t="str">
        <f>IFERROR(AVERAGEIF(#REF!,"&lt;&gt;0"), "")</f>
        <v/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FA7E1-1B18-4310-B845-A5A91EF5AC6E}">
  <dimension ref="A1:C32"/>
  <sheetViews>
    <sheetView zoomScale="120" zoomScaleNormal="120" workbookViewId="0">
      <selection activeCell="A2" sqref="A2:A16"/>
    </sheetView>
  </sheetViews>
  <sheetFormatPr defaultColWidth="8.7265625" defaultRowHeight="16" x14ac:dyDescent="0.45"/>
  <cols>
    <col min="1" max="16384" width="8.7265625" style="2"/>
  </cols>
  <sheetData>
    <row r="1" spans="1:3" x14ac:dyDescent="0.45">
      <c r="A1" s="2" t="s">
        <v>5</v>
      </c>
      <c r="B1" s="1" t="s">
        <v>3</v>
      </c>
      <c r="C1" s="1" t="s">
        <v>4</v>
      </c>
    </row>
    <row r="2" spans="1:3" x14ac:dyDescent="0.45">
      <c r="A2" s="11" t="s">
        <v>1</v>
      </c>
      <c r="B2" s="4">
        <v>7.0049999999999999</v>
      </c>
      <c r="C2" s="4">
        <v>7.08</v>
      </c>
    </row>
    <row r="3" spans="1:3" x14ac:dyDescent="0.45">
      <c r="A3" s="12" t="s">
        <v>2</v>
      </c>
      <c r="B3" s="4">
        <v>5.625</v>
      </c>
      <c r="C3" s="4">
        <v>5.7249999999999996</v>
      </c>
    </row>
    <row r="4" spans="1:3" x14ac:dyDescent="0.45">
      <c r="A4" s="12" t="s">
        <v>6</v>
      </c>
      <c r="B4" s="4">
        <v>6.01</v>
      </c>
      <c r="C4" s="4">
        <v>6.3849999999999998</v>
      </c>
    </row>
    <row r="5" spans="1:3" x14ac:dyDescent="0.45">
      <c r="A5" s="12" t="s">
        <v>7</v>
      </c>
      <c r="B5" s="4">
        <v>6.2149999999999999</v>
      </c>
      <c r="C5" s="4">
        <v>5.8049999999999997</v>
      </c>
    </row>
    <row r="6" spans="1:3" x14ac:dyDescent="0.45">
      <c r="A6" s="12" t="s">
        <v>8</v>
      </c>
      <c r="B6" s="4">
        <v>5.1999999999999993</v>
      </c>
      <c r="C6" s="4">
        <v>5.16</v>
      </c>
    </row>
    <row r="7" spans="1:3" x14ac:dyDescent="0.45">
      <c r="A7" s="12" t="s">
        <v>9</v>
      </c>
      <c r="B7" s="4">
        <v>6.4</v>
      </c>
      <c r="C7" s="4">
        <v>6.3</v>
      </c>
    </row>
    <row r="8" spans="1:3" x14ac:dyDescent="0.45">
      <c r="A8" s="12" t="s">
        <v>10</v>
      </c>
      <c r="B8" s="4">
        <v>5.415</v>
      </c>
      <c r="C8" s="4">
        <v>5.3</v>
      </c>
    </row>
    <row r="9" spans="1:3" x14ac:dyDescent="0.45">
      <c r="A9" s="12" t="s">
        <v>11</v>
      </c>
      <c r="B9" s="4">
        <v>5.8949999999999996</v>
      </c>
      <c r="C9" s="4">
        <v>5.3249999999999993</v>
      </c>
    </row>
    <row r="10" spans="1:3" x14ac:dyDescent="0.45">
      <c r="A10" s="12" t="s">
        <v>12</v>
      </c>
      <c r="B10" s="4">
        <v>4.4700000000000006</v>
      </c>
      <c r="C10" s="4">
        <v>5.2850000000000001</v>
      </c>
    </row>
    <row r="11" spans="1:3" x14ac:dyDescent="0.45">
      <c r="A11" s="12" t="s">
        <v>13</v>
      </c>
      <c r="B11" s="4">
        <v>5.3650000000000002</v>
      </c>
      <c r="C11" s="4">
        <v>5.335</v>
      </c>
    </row>
    <row r="12" spans="1:3" x14ac:dyDescent="0.45">
      <c r="A12" s="12" t="s">
        <v>14</v>
      </c>
      <c r="B12" s="4">
        <v>6</v>
      </c>
      <c r="C12" s="4">
        <v>6.1999999999999993</v>
      </c>
    </row>
    <row r="13" spans="1:3" x14ac:dyDescent="0.45">
      <c r="A13" s="12" t="s">
        <v>15</v>
      </c>
      <c r="B13" s="4">
        <v>6.4550000000000001</v>
      </c>
      <c r="C13" s="4">
        <v>6.2850000000000001</v>
      </c>
    </row>
    <row r="14" spans="1:3" x14ac:dyDescent="0.45">
      <c r="A14" s="12" t="s">
        <v>16</v>
      </c>
      <c r="B14" s="4">
        <v>5.9399999999999995</v>
      </c>
      <c r="C14" s="4">
        <v>6.0600000000000005</v>
      </c>
    </row>
    <row r="15" spans="1:3" x14ac:dyDescent="0.45">
      <c r="A15" s="12" t="s">
        <v>17</v>
      </c>
      <c r="B15" s="4">
        <v>4.6099999999999994</v>
      </c>
      <c r="C15" s="4">
        <v>4.32</v>
      </c>
    </row>
    <row r="16" spans="1:3" x14ac:dyDescent="0.45">
      <c r="A16" s="13" t="s">
        <v>18</v>
      </c>
      <c r="B16" s="4">
        <v>5.8650000000000002</v>
      </c>
      <c r="C16" s="4">
        <v>5.6750000000000007</v>
      </c>
    </row>
    <row r="17" spans="2:3" x14ac:dyDescent="0.45">
      <c r="B17" s="4" t="str">
        <f>IFERROR(AVERAGEIF(#REF!,"&lt;&gt;0"), "")</f>
        <v/>
      </c>
      <c r="C17" s="4" t="str">
        <f>IFERROR(AVERAGEIF(#REF!,"&lt;&gt;0"), "")</f>
        <v/>
      </c>
    </row>
    <row r="18" spans="2:3" x14ac:dyDescent="0.45">
      <c r="B18" s="4" t="str">
        <f>IFERROR(AVERAGEIF(#REF!,"&lt;&gt;0"), "")</f>
        <v/>
      </c>
      <c r="C18" s="4" t="str">
        <f>IFERROR(AVERAGEIF(#REF!,"&lt;&gt;0"), "")</f>
        <v/>
      </c>
    </row>
    <row r="19" spans="2:3" x14ac:dyDescent="0.45">
      <c r="B19" s="4" t="str">
        <f>IFERROR(AVERAGEIF(#REF!,"&lt;&gt;0"), "")</f>
        <v/>
      </c>
      <c r="C19" s="4" t="str">
        <f>IFERROR(AVERAGEIF(#REF!,"&lt;&gt;0"), "")</f>
        <v/>
      </c>
    </row>
    <row r="20" spans="2:3" x14ac:dyDescent="0.45">
      <c r="B20" s="4" t="str">
        <f>IFERROR(AVERAGEIF(#REF!,"&lt;&gt;0"), "")</f>
        <v/>
      </c>
      <c r="C20" s="4" t="str">
        <f>IFERROR(AVERAGEIF(#REF!,"&lt;&gt;0"), "")</f>
        <v/>
      </c>
    </row>
    <row r="21" spans="2:3" x14ac:dyDescent="0.45">
      <c r="B21" s="4" t="str">
        <f>IFERROR(AVERAGEIF(#REF!,"&lt;&gt;0"), "")</f>
        <v/>
      </c>
      <c r="C21" s="4" t="str">
        <f>IFERROR(AVERAGEIF(#REF!,"&lt;&gt;0"), "")</f>
        <v/>
      </c>
    </row>
    <row r="22" spans="2:3" x14ac:dyDescent="0.45">
      <c r="B22" s="4" t="str">
        <f>IFERROR(AVERAGEIF(#REF!,"&lt;&gt;0"), "")</f>
        <v/>
      </c>
      <c r="C22" s="4" t="str">
        <f>IFERROR(AVERAGEIF(#REF!,"&lt;&gt;0"), "")</f>
        <v/>
      </c>
    </row>
    <row r="23" spans="2:3" x14ac:dyDescent="0.45">
      <c r="B23" s="4" t="str">
        <f>IFERROR(AVERAGEIF(#REF!,"&lt;&gt;0"), "")</f>
        <v/>
      </c>
      <c r="C23" s="4" t="str">
        <f>IFERROR(AVERAGEIF(#REF!,"&lt;&gt;0"), "")</f>
        <v/>
      </c>
    </row>
    <row r="24" spans="2:3" x14ac:dyDescent="0.45">
      <c r="B24" s="4" t="str">
        <f>IFERROR(AVERAGEIF(#REF!,"&lt;&gt;0"), "")</f>
        <v/>
      </c>
      <c r="C24" s="4" t="str">
        <f>IFERROR(AVERAGEIF(#REF!,"&lt;&gt;0"), "")</f>
        <v/>
      </c>
    </row>
    <row r="25" spans="2:3" x14ac:dyDescent="0.45">
      <c r="B25" s="4" t="str">
        <f>IFERROR(AVERAGEIF(#REF!,"&lt;&gt;0"), "")</f>
        <v/>
      </c>
      <c r="C25" s="4" t="str">
        <f>IFERROR(AVERAGEIF(#REF!,"&lt;&gt;0"), "")</f>
        <v/>
      </c>
    </row>
    <row r="26" spans="2:3" x14ac:dyDescent="0.45">
      <c r="B26" s="4" t="str">
        <f>IFERROR(AVERAGEIF(#REF!,"&lt;&gt;0"), "")</f>
        <v/>
      </c>
      <c r="C26" s="4" t="str">
        <f>IFERROR(AVERAGEIF(#REF!,"&lt;&gt;0"), "")</f>
        <v/>
      </c>
    </row>
    <row r="27" spans="2:3" x14ac:dyDescent="0.45">
      <c r="B27" s="4" t="str">
        <f>IFERROR(AVERAGEIF(#REF!,"&lt;&gt;0"), "")</f>
        <v/>
      </c>
      <c r="C27" s="4" t="str">
        <f>IFERROR(AVERAGEIF(#REF!,"&lt;&gt;0"), "")</f>
        <v/>
      </c>
    </row>
    <row r="28" spans="2:3" x14ac:dyDescent="0.45">
      <c r="B28" s="4" t="str">
        <f>IFERROR(AVERAGEIF(#REF!,"&lt;&gt;0"), "")</f>
        <v/>
      </c>
      <c r="C28" s="4" t="str">
        <f>IFERROR(AVERAGEIF(#REF!,"&lt;&gt;0"), "")</f>
        <v/>
      </c>
    </row>
    <row r="29" spans="2:3" x14ac:dyDescent="0.45">
      <c r="B29" s="4" t="str">
        <f>IFERROR(AVERAGEIF(#REF!,"&lt;&gt;0"), "")</f>
        <v/>
      </c>
      <c r="C29" s="4" t="str">
        <f>IFERROR(AVERAGEIF(#REF!,"&lt;&gt;0"), "")</f>
        <v/>
      </c>
    </row>
    <row r="30" spans="2:3" x14ac:dyDescent="0.45">
      <c r="B30" s="4" t="str">
        <f>IFERROR(AVERAGEIF(#REF!,"&lt;&gt;0"), "")</f>
        <v/>
      </c>
      <c r="C30" s="4" t="str">
        <f>IFERROR(AVERAGEIF(#REF!,"&lt;&gt;0"), "")</f>
        <v/>
      </c>
    </row>
    <row r="31" spans="2:3" x14ac:dyDescent="0.45">
      <c r="B31" s="4" t="str">
        <f>IFERROR(AVERAGEIF(#REF!,"&lt;&gt;0"), "")</f>
        <v/>
      </c>
      <c r="C31" s="4" t="str">
        <f>IFERROR(AVERAGEIF(#REF!,"&lt;&gt;0"), "")</f>
        <v/>
      </c>
    </row>
    <row r="32" spans="2:3" x14ac:dyDescent="0.45">
      <c r="B32" s="4" t="str">
        <f>IFERROR(AVERAGEIF(#REF!,"&lt;&gt;0"), "")</f>
        <v/>
      </c>
      <c r="C32" s="4" t="str">
        <f>IFERROR(AVERAGEIF(#REF!,"&lt;&gt;0"), "")</f>
        <v/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359C5-4EDF-4C3F-8D68-76B09D3C117E}">
  <dimension ref="A1:C32"/>
  <sheetViews>
    <sheetView zoomScale="120" zoomScaleNormal="120" workbookViewId="0">
      <selection activeCell="A2" sqref="A2"/>
    </sheetView>
  </sheetViews>
  <sheetFormatPr defaultColWidth="8.7265625" defaultRowHeight="16" x14ac:dyDescent="0.45"/>
  <cols>
    <col min="1" max="16384" width="8.7265625" style="2"/>
  </cols>
  <sheetData>
    <row r="1" spans="1:3" x14ac:dyDescent="0.45">
      <c r="A1" s="2" t="s">
        <v>5</v>
      </c>
      <c r="B1" s="1" t="s">
        <v>1</v>
      </c>
      <c r="C1" s="1" t="s">
        <v>2</v>
      </c>
    </row>
    <row r="2" spans="1:3" x14ac:dyDescent="0.45">
      <c r="A2" s="8" t="s">
        <v>1</v>
      </c>
      <c r="B2" s="4">
        <v>13.969999999999999</v>
      </c>
      <c r="C2" s="4">
        <v>13.965</v>
      </c>
    </row>
    <row r="3" spans="1:3" x14ac:dyDescent="0.45">
      <c r="A3" s="9" t="s">
        <v>2</v>
      </c>
      <c r="B3" s="4">
        <v>13.36</v>
      </c>
      <c r="C3" s="4">
        <v>13.774999999999999</v>
      </c>
    </row>
    <row r="4" spans="1:3" x14ac:dyDescent="0.45">
      <c r="A4" s="10" t="s">
        <v>6</v>
      </c>
      <c r="B4" s="4">
        <v>14.565000000000001</v>
      </c>
      <c r="C4" s="4">
        <v>14.52</v>
      </c>
    </row>
    <row r="5" spans="1:3" x14ac:dyDescent="0.45">
      <c r="A5" s="10" t="s">
        <v>0</v>
      </c>
      <c r="B5" s="4">
        <v>14.34</v>
      </c>
      <c r="C5" s="4">
        <v>14.27</v>
      </c>
    </row>
    <row r="6" spans="1:3" x14ac:dyDescent="0.45">
      <c r="A6" s="10" t="s">
        <v>3</v>
      </c>
      <c r="B6" s="4">
        <v>14.215</v>
      </c>
      <c r="C6" s="4">
        <v>14.629999999999999</v>
      </c>
    </row>
    <row r="7" spans="1:3" x14ac:dyDescent="0.45">
      <c r="A7" s="10" t="s">
        <v>4</v>
      </c>
      <c r="B7" s="4">
        <v>14.364999999999998</v>
      </c>
      <c r="C7" s="4">
        <v>14.49</v>
      </c>
    </row>
    <row r="8" spans="1:3" x14ac:dyDescent="0.45">
      <c r="A8" s="10" t="s">
        <v>7</v>
      </c>
      <c r="B8" s="4">
        <v>13.69</v>
      </c>
      <c r="C8" s="4">
        <v>13.54</v>
      </c>
    </row>
    <row r="9" spans="1:3" x14ac:dyDescent="0.45">
      <c r="A9" s="10" t="s">
        <v>8</v>
      </c>
      <c r="B9" s="4">
        <v>13.875</v>
      </c>
      <c r="C9" s="4">
        <v>13.96</v>
      </c>
    </row>
    <row r="10" spans="1:3" x14ac:dyDescent="0.45">
      <c r="A10" s="10" t="s">
        <v>9</v>
      </c>
      <c r="B10" s="4">
        <v>14.51</v>
      </c>
      <c r="C10" s="4">
        <v>14.455</v>
      </c>
    </row>
    <row r="11" spans="1:3" x14ac:dyDescent="0.45">
      <c r="A11" s="10" t="s">
        <v>10</v>
      </c>
      <c r="B11" s="4">
        <v>13.9</v>
      </c>
      <c r="C11" s="4">
        <v>13.98</v>
      </c>
    </row>
    <row r="12" spans="1:3" x14ac:dyDescent="0.45">
      <c r="A12" s="10" t="s">
        <v>11</v>
      </c>
      <c r="B12" s="4">
        <v>13.76</v>
      </c>
      <c r="C12" s="4">
        <v>14.065000000000001</v>
      </c>
    </row>
    <row r="13" spans="1:3" x14ac:dyDescent="0.45">
      <c r="A13" s="10" t="s">
        <v>12</v>
      </c>
      <c r="B13" s="4">
        <v>13.16</v>
      </c>
      <c r="C13" s="4">
        <v>13.370000000000001</v>
      </c>
    </row>
    <row r="14" spans="1:3" x14ac:dyDescent="0.45">
      <c r="A14" s="10" t="s">
        <v>13</v>
      </c>
      <c r="B14" s="4">
        <v>13.61</v>
      </c>
      <c r="C14" s="4">
        <v>13.61</v>
      </c>
    </row>
    <row r="15" spans="1:3" x14ac:dyDescent="0.45">
      <c r="A15" s="10" t="s">
        <v>14</v>
      </c>
      <c r="B15" s="4">
        <v>13.6</v>
      </c>
      <c r="C15" s="4">
        <v>14.25</v>
      </c>
    </row>
    <row r="16" spans="1:3" x14ac:dyDescent="0.45">
      <c r="A16" s="10" t="s">
        <v>15</v>
      </c>
      <c r="B16" s="4">
        <v>14.52</v>
      </c>
      <c r="C16" s="4">
        <v>14.555</v>
      </c>
    </row>
    <row r="17" spans="1:3" x14ac:dyDescent="0.45">
      <c r="A17" s="10" t="s">
        <v>16</v>
      </c>
      <c r="B17" s="4">
        <v>14.030000000000001</v>
      </c>
      <c r="C17" s="4">
        <v>13.99</v>
      </c>
    </row>
    <row r="18" spans="1:3" x14ac:dyDescent="0.45">
      <c r="A18" s="10" t="s">
        <v>17</v>
      </c>
      <c r="B18" s="4">
        <v>13.715</v>
      </c>
      <c r="C18" s="4">
        <v>13.72</v>
      </c>
    </row>
    <row r="19" spans="1:3" x14ac:dyDescent="0.45">
      <c r="A19" s="10" t="s">
        <v>18</v>
      </c>
      <c r="B19" s="4">
        <v>13.41</v>
      </c>
      <c r="C19" s="4">
        <v>13.27</v>
      </c>
    </row>
    <row r="20" spans="1:3" x14ac:dyDescent="0.45">
      <c r="B20" s="4" t="str">
        <f>IFERROR(AVERAGEIF(#REF!,"&lt;&gt;0"), "")</f>
        <v/>
      </c>
      <c r="C20" s="4" t="str">
        <f>IFERROR(AVERAGEIF(#REF!,"&lt;&gt;0"), "")</f>
        <v/>
      </c>
    </row>
    <row r="21" spans="1:3" x14ac:dyDescent="0.45">
      <c r="B21" s="4" t="str">
        <f>IFERROR(AVERAGEIF(#REF!,"&lt;&gt;0"), "")</f>
        <v/>
      </c>
      <c r="C21" s="4" t="str">
        <f>IFERROR(AVERAGEIF(#REF!,"&lt;&gt;0"), "")</f>
        <v/>
      </c>
    </row>
    <row r="22" spans="1:3" x14ac:dyDescent="0.45">
      <c r="B22" s="4" t="str">
        <f>IFERROR(AVERAGEIF(#REF!,"&lt;&gt;0"), "")</f>
        <v/>
      </c>
      <c r="C22" s="4" t="str">
        <f>IFERROR(AVERAGEIF(#REF!,"&lt;&gt;0"), "")</f>
        <v/>
      </c>
    </row>
    <row r="23" spans="1:3" x14ac:dyDescent="0.45">
      <c r="B23" s="4" t="str">
        <f>IFERROR(AVERAGEIF(#REF!,"&lt;&gt;0"), "")</f>
        <v/>
      </c>
      <c r="C23" s="4" t="str">
        <f>IFERROR(AVERAGEIF(#REF!,"&lt;&gt;0"), "")</f>
        <v/>
      </c>
    </row>
    <row r="24" spans="1:3" x14ac:dyDescent="0.45">
      <c r="B24" s="4" t="str">
        <f>IFERROR(AVERAGEIF(#REF!,"&lt;&gt;0"), "")</f>
        <v/>
      </c>
      <c r="C24" s="4" t="str">
        <f>IFERROR(AVERAGEIF(#REF!,"&lt;&gt;0"), "")</f>
        <v/>
      </c>
    </row>
    <row r="25" spans="1:3" x14ac:dyDescent="0.45">
      <c r="B25" s="4" t="str">
        <f>IFERROR(AVERAGEIF(#REF!,"&lt;&gt;0"), "")</f>
        <v/>
      </c>
      <c r="C25" s="4" t="str">
        <f>IFERROR(AVERAGEIF(#REF!,"&lt;&gt;0"), "")</f>
        <v/>
      </c>
    </row>
    <row r="26" spans="1:3" x14ac:dyDescent="0.45">
      <c r="B26" s="4" t="str">
        <f>IFERROR(AVERAGEIF(#REF!,"&lt;&gt;0"), "")</f>
        <v/>
      </c>
      <c r="C26" s="4" t="str">
        <f>IFERROR(AVERAGEIF(#REF!,"&lt;&gt;0"), "")</f>
        <v/>
      </c>
    </row>
    <row r="27" spans="1:3" x14ac:dyDescent="0.45">
      <c r="B27" s="4" t="str">
        <f>IFERROR(AVERAGEIF(#REF!,"&lt;&gt;0"), "")</f>
        <v/>
      </c>
      <c r="C27" s="4" t="str">
        <f>IFERROR(AVERAGEIF(#REF!,"&lt;&gt;0"), "")</f>
        <v/>
      </c>
    </row>
    <row r="28" spans="1:3" x14ac:dyDescent="0.45">
      <c r="B28" s="4" t="str">
        <f>IFERROR(AVERAGEIF(#REF!,"&lt;&gt;0"), "")</f>
        <v/>
      </c>
      <c r="C28" s="4" t="str">
        <f>IFERROR(AVERAGEIF(#REF!,"&lt;&gt;0"), "")</f>
        <v/>
      </c>
    </row>
    <row r="29" spans="1:3" x14ac:dyDescent="0.45">
      <c r="B29" s="4" t="str">
        <f>IFERROR(AVERAGEIF(#REF!,"&lt;&gt;0"), "")</f>
        <v/>
      </c>
      <c r="C29" s="4" t="str">
        <f>IFERROR(AVERAGEIF(#REF!,"&lt;&gt;0"), "")</f>
        <v/>
      </c>
    </row>
    <row r="30" spans="1:3" x14ac:dyDescent="0.45">
      <c r="B30" s="4" t="str">
        <f>IFERROR(AVERAGEIF(#REF!,"&lt;&gt;0"), "")</f>
        <v/>
      </c>
      <c r="C30" s="4" t="str">
        <f>IFERROR(AVERAGEIF(#REF!,"&lt;&gt;0"), "")</f>
        <v/>
      </c>
    </row>
    <row r="31" spans="1:3" x14ac:dyDescent="0.45">
      <c r="B31" s="4" t="str">
        <f>IFERROR(AVERAGEIF(#REF!,"&lt;&gt;0"), "")</f>
        <v/>
      </c>
      <c r="C31" s="4" t="str">
        <f>IFERROR(AVERAGEIF(#REF!,"&lt;&gt;0"), "")</f>
        <v/>
      </c>
    </row>
    <row r="32" spans="1:3" x14ac:dyDescent="0.45">
      <c r="B32" s="4" t="str">
        <f>IFERROR(AVERAGEIF(#REF!,"&lt;&gt;0"), "")</f>
        <v/>
      </c>
      <c r="C32" s="4" t="str">
        <f>IFERROR(AVERAGEIF(#REF!,"&lt;&gt;0"), "")</f>
        <v/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24BD0-3315-4C3D-B697-570CBA7628A0}">
  <dimension ref="A1:C32"/>
  <sheetViews>
    <sheetView tabSelected="1" zoomScale="120" zoomScaleNormal="120" workbookViewId="0">
      <selection activeCell="J5" sqref="J5"/>
    </sheetView>
  </sheetViews>
  <sheetFormatPr defaultColWidth="8.7265625" defaultRowHeight="16" x14ac:dyDescent="0.45"/>
  <cols>
    <col min="1" max="16384" width="8.7265625" style="2"/>
  </cols>
  <sheetData>
    <row r="1" spans="1:3" x14ac:dyDescent="0.45">
      <c r="A1" s="2" t="s">
        <v>5</v>
      </c>
      <c r="B1" s="1" t="s">
        <v>3</v>
      </c>
      <c r="C1" s="1" t="s">
        <v>4</v>
      </c>
    </row>
    <row r="2" spans="1:3" x14ac:dyDescent="0.45">
      <c r="A2" s="8" t="s">
        <v>1</v>
      </c>
      <c r="B2" s="4">
        <v>0.09</v>
      </c>
      <c r="C2" s="4">
        <v>0.1</v>
      </c>
    </row>
    <row r="3" spans="1:3" x14ac:dyDescent="0.45">
      <c r="A3" s="9" t="s">
        <v>2</v>
      </c>
      <c r="B3" s="4">
        <v>0.11</v>
      </c>
      <c r="C3" s="4">
        <v>0.14500000000000002</v>
      </c>
    </row>
    <row r="4" spans="1:3" x14ac:dyDescent="0.45">
      <c r="A4" s="9" t="s">
        <v>6</v>
      </c>
      <c r="B4" s="4">
        <v>7.0000000000000007E-2</v>
      </c>
      <c r="C4" s="4">
        <v>0.09</v>
      </c>
    </row>
    <row r="5" spans="1:3" x14ac:dyDescent="0.45">
      <c r="A5" s="10" t="s">
        <v>0</v>
      </c>
      <c r="B5" s="4">
        <v>7.0000000000000007E-2</v>
      </c>
      <c r="C5" s="4">
        <v>6.5000000000000002E-2</v>
      </c>
    </row>
    <row r="6" spans="1:3" x14ac:dyDescent="0.45">
      <c r="A6" s="10" t="s">
        <v>4</v>
      </c>
      <c r="B6" s="4">
        <v>7.0000000000000007E-2</v>
      </c>
      <c r="C6" s="4">
        <v>7.3999999999999996E-2</v>
      </c>
    </row>
    <row r="7" spans="1:3" x14ac:dyDescent="0.45">
      <c r="A7" s="10" t="s">
        <v>7</v>
      </c>
      <c r="B7" s="4">
        <v>9.5000000000000001E-2</v>
      </c>
      <c r="C7" s="4">
        <v>8.4999999999999992E-2</v>
      </c>
    </row>
    <row r="8" spans="1:3" x14ac:dyDescent="0.45">
      <c r="A8" s="10" t="s">
        <v>8</v>
      </c>
      <c r="B8" s="4">
        <v>8.6499999999999994E-2</v>
      </c>
      <c r="C8" s="4">
        <v>8.2500000000000004E-2</v>
      </c>
    </row>
    <row r="9" spans="1:3" x14ac:dyDescent="0.45">
      <c r="A9" s="10" t="s">
        <v>9</v>
      </c>
      <c r="B9" s="4">
        <v>4.4999999999999998E-2</v>
      </c>
      <c r="C9" s="4">
        <v>4.4999999999999998E-2</v>
      </c>
    </row>
    <row r="10" spans="1:3" x14ac:dyDescent="0.45">
      <c r="A10" s="10" t="s">
        <v>10</v>
      </c>
      <c r="B10" s="4">
        <v>7.5000000000000011E-2</v>
      </c>
      <c r="C10" s="4">
        <v>8.4999999999999992E-2</v>
      </c>
    </row>
    <row r="11" spans="1:3" x14ac:dyDescent="0.45">
      <c r="A11" s="10" t="s">
        <v>11</v>
      </c>
      <c r="B11" s="4">
        <v>2.1999999999999999E-2</v>
      </c>
      <c r="C11" s="4">
        <v>0.11</v>
      </c>
    </row>
    <row r="12" spans="1:3" x14ac:dyDescent="0.45">
      <c r="A12" s="10" t="s">
        <v>12</v>
      </c>
      <c r="B12" s="4">
        <v>5.9500000000000004E-2</v>
      </c>
      <c r="C12" s="4">
        <v>0.14000000000000001</v>
      </c>
    </row>
    <row r="13" spans="1:3" x14ac:dyDescent="0.45">
      <c r="A13" s="10" t="s">
        <v>13</v>
      </c>
      <c r="B13" s="4">
        <v>0.11</v>
      </c>
      <c r="C13" s="4">
        <v>0.60000000000000009</v>
      </c>
    </row>
    <row r="14" spans="1:3" x14ac:dyDescent="0.45">
      <c r="A14" s="10" t="s">
        <v>14</v>
      </c>
      <c r="B14" s="4">
        <v>7.5000000000000011E-2</v>
      </c>
      <c r="C14" s="4">
        <v>7.0000000000000007E-2</v>
      </c>
    </row>
    <row r="15" spans="1:3" x14ac:dyDescent="0.45">
      <c r="A15" s="10" t="s">
        <v>15</v>
      </c>
      <c r="B15" s="4">
        <v>9.0999999999999998E-2</v>
      </c>
      <c r="C15" s="4">
        <v>9.0499999999999997E-2</v>
      </c>
    </row>
    <row r="16" spans="1:3" x14ac:dyDescent="0.45">
      <c r="A16" s="10" t="s">
        <v>16</v>
      </c>
      <c r="B16" s="4">
        <v>5.2000000000000005E-2</v>
      </c>
      <c r="C16" s="4">
        <v>6.5000000000000002E-2</v>
      </c>
    </row>
    <row r="17" spans="1:3" x14ac:dyDescent="0.45">
      <c r="A17" s="10" t="s">
        <v>17</v>
      </c>
      <c r="B17" s="4">
        <v>0.10500000000000001</v>
      </c>
      <c r="C17" s="4">
        <v>0.1</v>
      </c>
    </row>
    <row r="18" spans="1:3" x14ac:dyDescent="0.45">
      <c r="A18" s="10" t="s">
        <v>18</v>
      </c>
      <c r="B18" s="4">
        <v>0.11499999999999999</v>
      </c>
      <c r="C18" s="4">
        <v>0.1</v>
      </c>
    </row>
    <row r="19" spans="1:3" x14ac:dyDescent="0.45">
      <c r="A19" s="14"/>
      <c r="B19" s="4" t="str">
        <f>IFERROR(AVERAGEIF(#REF!,"&lt;&gt;0"), "")</f>
        <v/>
      </c>
      <c r="C19" s="4" t="str">
        <f>IFERROR(AVERAGEIF(#REF!,"&lt;&gt;0"), "")</f>
        <v/>
      </c>
    </row>
    <row r="20" spans="1:3" x14ac:dyDescent="0.45">
      <c r="A20" s="14"/>
      <c r="B20" s="4" t="str">
        <f>IFERROR(AVERAGEIF(#REF!,"&lt;&gt;0"), "")</f>
        <v/>
      </c>
      <c r="C20" s="4" t="str">
        <f>IFERROR(AVERAGEIF(#REF!,"&lt;&gt;0"), "")</f>
        <v/>
      </c>
    </row>
    <row r="21" spans="1:3" x14ac:dyDescent="0.45">
      <c r="A21" s="14"/>
      <c r="B21" s="4" t="str">
        <f>IFERROR(AVERAGEIF(#REF!,"&lt;&gt;0"), "")</f>
        <v/>
      </c>
      <c r="C21" s="4" t="str">
        <f>IFERROR(AVERAGEIF(#REF!,"&lt;&gt;0"), "")</f>
        <v/>
      </c>
    </row>
    <row r="22" spans="1:3" x14ac:dyDescent="0.45">
      <c r="A22" s="14"/>
      <c r="B22" s="4" t="str">
        <f>IFERROR(AVERAGEIF(#REF!,"&lt;&gt;0"), "")</f>
        <v/>
      </c>
      <c r="C22" s="4" t="str">
        <f>IFERROR(AVERAGEIF(#REF!,"&lt;&gt;0"), "")</f>
        <v/>
      </c>
    </row>
    <row r="23" spans="1:3" x14ac:dyDescent="0.45">
      <c r="A23" s="14"/>
      <c r="B23" s="4" t="str">
        <f>IFERROR(AVERAGEIF(#REF!,"&lt;&gt;0"), "")</f>
        <v/>
      </c>
      <c r="C23" s="4" t="str">
        <f>IFERROR(AVERAGEIF(#REF!,"&lt;&gt;0"), "")</f>
        <v/>
      </c>
    </row>
    <row r="24" spans="1:3" x14ac:dyDescent="0.45">
      <c r="A24" s="14"/>
      <c r="B24" s="4" t="str">
        <f>IFERROR(AVERAGEIF(#REF!,"&lt;&gt;0"), "")</f>
        <v/>
      </c>
      <c r="C24" s="4" t="str">
        <f>IFERROR(AVERAGEIF(#REF!,"&lt;&gt;0"), "")</f>
        <v/>
      </c>
    </row>
    <row r="25" spans="1:3" x14ac:dyDescent="0.45">
      <c r="A25" s="14"/>
      <c r="B25" s="4" t="str">
        <f>IFERROR(AVERAGEIF(#REF!,"&lt;&gt;0"), "")</f>
        <v/>
      </c>
      <c r="C25" s="4" t="str">
        <f>IFERROR(AVERAGEIF(#REF!,"&lt;&gt;0"), "")</f>
        <v/>
      </c>
    </row>
    <row r="26" spans="1:3" x14ac:dyDescent="0.45">
      <c r="A26" s="14"/>
      <c r="B26" s="4" t="str">
        <f>IFERROR(AVERAGEIF(#REF!,"&lt;&gt;0"), "")</f>
        <v/>
      </c>
      <c r="C26" s="4" t="str">
        <f>IFERROR(AVERAGEIF(#REF!,"&lt;&gt;0"), "")</f>
        <v/>
      </c>
    </row>
    <row r="27" spans="1:3" x14ac:dyDescent="0.45">
      <c r="A27" s="14"/>
      <c r="B27" s="4" t="str">
        <f>IFERROR(AVERAGEIF(#REF!,"&lt;&gt;0"), "")</f>
        <v/>
      </c>
      <c r="C27" s="4" t="str">
        <f>IFERROR(AVERAGEIF(#REF!,"&lt;&gt;0"), "")</f>
        <v/>
      </c>
    </row>
    <row r="28" spans="1:3" x14ac:dyDescent="0.45">
      <c r="B28" s="4" t="str">
        <f>IFERROR(AVERAGEIF(#REF!,"&lt;&gt;0"), "")</f>
        <v/>
      </c>
      <c r="C28" s="4" t="str">
        <f>IFERROR(AVERAGEIF(#REF!,"&lt;&gt;0"), "")</f>
        <v/>
      </c>
    </row>
    <row r="29" spans="1:3" x14ac:dyDescent="0.45">
      <c r="B29" s="4" t="str">
        <f>IFERROR(AVERAGEIF(#REF!,"&lt;&gt;0"), "")</f>
        <v/>
      </c>
      <c r="C29" s="4" t="str">
        <f>IFERROR(AVERAGEIF(#REF!,"&lt;&gt;0"), "")</f>
        <v/>
      </c>
    </row>
    <row r="30" spans="1:3" x14ac:dyDescent="0.45">
      <c r="B30" s="4" t="str">
        <f>IFERROR(AVERAGEIF(#REF!,"&lt;&gt;0"), "")</f>
        <v/>
      </c>
      <c r="C30" s="4" t="str">
        <f>IFERROR(AVERAGEIF(#REF!,"&lt;&gt;0"), "")</f>
        <v/>
      </c>
    </row>
    <row r="31" spans="1:3" x14ac:dyDescent="0.45">
      <c r="B31" s="4" t="str">
        <f>IFERROR(AVERAGEIF(#REF!,"&lt;&gt;0"), "")</f>
        <v/>
      </c>
      <c r="C31" s="4" t="str">
        <f>IFERROR(AVERAGEIF(#REF!,"&lt;&gt;0"), "")</f>
        <v/>
      </c>
    </row>
    <row r="32" spans="1:3" x14ac:dyDescent="0.45">
      <c r="B32" s="4" t="str">
        <f>IFERROR(AVERAGEIF(#REF!,"&lt;&gt;0"), "")</f>
        <v/>
      </c>
      <c r="C32" s="4" t="str">
        <f>IFERROR(AVERAGEIF(#REF!,"&lt;&gt;0"), "")</f>
        <v/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8E5C3-5270-4220-BB78-3EB8D0F51CDD}">
  <dimension ref="A1:C32"/>
  <sheetViews>
    <sheetView zoomScale="120" zoomScaleNormal="120" workbookViewId="0">
      <selection activeCell="A2" sqref="A2"/>
    </sheetView>
  </sheetViews>
  <sheetFormatPr defaultColWidth="8.7265625" defaultRowHeight="16" x14ac:dyDescent="0.45"/>
  <cols>
    <col min="1" max="16384" width="8.7265625" style="2"/>
  </cols>
  <sheetData>
    <row r="1" spans="1:3" x14ac:dyDescent="0.45">
      <c r="A1" s="2" t="s">
        <v>5</v>
      </c>
      <c r="B1" s="1" t="s">
        <v>1</v>
      </c>
      <c r="C1" s="1" t="s">
        <v>2</v>
      </c>
    </row>
    <row r="2" spans="1:3" x14ac:dyDescent="0.45">
      <c r="A2" s="8" t="s">
        <v>2</v>
      </c>
      <c r="B2" s="4">
        <v>4.4999999999999998E-2</v>
      </c>
      <c r="C2" s="4">
        <v>0.02</v>
      </c>
    </row>
    <row r="3" spans="1:3" x14ac:dyDescent="0.45">
      <c r="A3" s="9" t="s">
        <v>3</v>
      </c>
      <c r="B3" s="4">
        <v>0.13500000000000001</v>
      </c>
      <c r="C3" s="4">
        <v>0.12000000000000001</v>
      </c>
    </row>
    <row r="4" spans="1:3" x14ac:dyDescent="0.45">
      <c r="A4" s="9" t="s">
        <v>4</v>
      </c>
      <c r="B4" s="4">
        <v>4.8000000000000001E-2</v>
      </c>
      <c r="C4" s="4">
        <v>3.9E-2</v>
      </c>
    </row>
    <row r="5" spans="1:3" x14ac:dyDescent="0.45">
      <c r="A5" s="10" t="s">
        <v>7</v>
      </c>
      <c r="B5" s="4">
        <v>8.4999999999999992E-2</v>
      </c>
      <c r="C5" s="4">
        <v>0.12</v>
      </c>
    </row>
    <row r="6" spans="1:3" x14ac:dyDescent="0.45">
      <c r="A6" s="10" t="s">
        <v>8</v>
      </c>
      <c r="B6" s="4">
        <v>0.01</v>
      </c>
      <c r="C6" s="4">
        <v>9.9999999999999985E-3</v>
      </c>
    </row>
    <row r="7" spans="1:3" x14ac:dyDescent="0.45">
      <c r="A7" s="10" t="s">
        <v>10</v>
      </c>
      <c r="B7" s="4">
        <v>8.1500000000000003E-2</v>
      </c>
      <c r="C7" s="4">
        <v>4.1499999999999995E-2</v>
      </c>
    </row>
    <row r="8" spans="1:3" x14ac:dyDescent="0.45">
      <c r="A8" s="10" t="s">
        <v>11</v>
      </c>
      <c r="B8" s="4">
        <v>2.4E-2</v>
      </c>
      <c r="C8" s="4">
        <v>7.825E-2</v>
      </c>
    </row>
    <row r="9" spans="1:3" x14ac:dyDescent="0.45">
      <c r="A9" s="10" t="s">
        <v>12</v>
      </c>
      <c r="B9" s="4">
        <v>0.995</v>
      </c>
      <c r="C9" s="4">
        <v>1.0775000000000001</v>
      </c>
    </row>
    <row r="10" spans="1:3" x14ac:dyDescent="0.45">
      <c r="A10" s="10" t="s">
        <v>13</v>
      </c>
      <c r="B10" s="4">
        <v>0.02</v>
      </c>
      <c r="C10" s="4">
        <v>1.4999999999999999E-2</v>
      </c>
    </row>
    <row r="11" spans="1:3" x14ac:dyDescent="0.45">
      <c r="A11" s="10" t="s">
        <v>14</v>
      </c>
      <c r="B11" s="4">
        <v>0.03</v>
      </c>
      <c r="C11" s="4">
        <v>0.03</v>
      </c>
    </row>
    <row r="12" spans="1:3" x14ac:dyDescent="0.45">
      <c r="A12" s="10" t="s">
        <v>15</v>
      </c>
      <c r="B12" s="4">
        <v>0.13950000000000001</v>
      </c>
      <c r="C12" s="4">
        <v>7.4999999999999997E-2</v>
      </c>
    </row>
    <row r="13" spans="1:3" x14ac:dyDescent="0.45">
      <c r="A13" s="10" t="s">
        <v>16</v>
      </c>
      <c r="B13" s="4">
        <v>0.24299999999999999</v>
      </c>
      <c r="C13" s="4">
        <v>0.16900000000000001</v>
      </c>
    </row>
    <row r="14" spans="1:3" x14ac:dyDescent="0.45">
      <c r="A14" s="10" t="s">
        <v>17</v>
      </c>
      <c r="B14" s="4">
        <v>0.05</v>
      </c>
      <c r="C14" s="4">
        <v>0.05</v>
      </c>
    </row>
    <row r="15" spans="1:3" x14ac:dyDescent="0.45">
      <c r="A15" s="10" t="s">
        <v>18</v>
      </c>
      <c r="B15" s="4">
        <v>3.5000000000000003E-2</v>
      </c>
      <c r="C15" s="4">
        <v>4.4999999999999998E-2</v>
      </c>
    </row>
    <row r="16" spans="1:3" x14ac:dyDescent="0.45">
      <c r="B16" s="4" t="str">
        <f>IFERROR(AVERAGEIF(#REF!,"&lt;&gt;0"), "")</f>
        <v/>
      </c>
      <c r="C16" s="4" t="str">
        <f>IFERROR(AVERAGEIF(#REF!,"&lt;&gt;0"), "")</f>
        <v/>
      </c>
    </row>
    <row r="17" spans="2:3" x14ac:dyDescent="0.45">
      <c r="B17" s="4" t="str">
        <f>IFERROR(AVERAGEIF(#REF!,"&lt;&gt;0"), "")</f>
        <v/>
      </c>
      <c r="C17" s="4" t="str">
        <f>IFERROR(AVERAGEIF(#REF!,"&lt;&gt;0"), "")</f>
        <v/>
      </c>
    </row>
    <row r="18" spans="2:3" x14ac:dyDescent="0.45">
      <c r="B18" s="4" t="str">
        <f>IFERROR(AVERAGEIF(#REF!,"&lt;&gt;0"), "")</f>
        <v/>
      </c>
      <c r="C18" s="4" t="str">
        <f>IFERROR(AVERAGEIF(#REF!,"&lt;&gt;0"), "")</f>
        <v/>
      </c>
    </row>
    <row r="19" spans="2:3" x14ac:dyDescent="0.45">
      <c r="B19" s="4" t="str">
        <f>IFERROR(AVERAGEIF(#REF!,"&lt;&gt;0"), "")</f>
        <v/>
      </c>
      <c r="C19" s="4" t="str">
        <f>IFERROR(AVERAGEIF(#REF!,"&lt;&gt;0"), "")</f>
        <v/>
      </c>
    </row>
    <row r="20" spans="2:3" x14ac:dyDescent="0.45">
      <c r="B20" s="4" t="str">
        <f>IFERROR(AVERAGEIF(#REF!,"&lt;&gt;0"), "")</f>
        <v/>
      </c>
      <c r="C20" s="4" t="str">
        <f>IFERROR(AVERAGEIF(#REF!,"&lt;&gt;0"), "")</f>
        <v/>
      </c>
    </row>
    <row r="21" spans="2:3" x14ac:dyDescent="0.45">
      <c r="B21" s="4" t="str">
        <f>IFERROR(AVERAGEIF(#REF!,"&lt;&gt;0"), "")</f>
        <v/>
      </c>
      <c r="C21" s="4" t="str">
        <f>IFERROR(AVERAGEIF(#REF!,"&lt;&gt;0"), "")</f>
        <v/>
      </c>
    </row>
    <row r="22" spans="2:3" x14ac:dyDescent="0.45">
      <c r="B22" s="4" t="str">
        <f>IFERROR(AVERAGEIF(#REF!,"&lt;&gt;0"), "")</f>
        <v/>
      </c>
      <c r="C22" s="4" t="str">
        <f>IFERROR(AVERAGEIF(#REF!,"&lt;&gt;0"), "")</f>
        <v/>
      </c>
    </row>
    <row r="23" spans="2:3" x14ac:dyDescent="0.45">
      <c r="B23" s="4" t="str">
        <f>IFERROR(AVERAGEIF(#REF!,"&lt;&gt;0"), "")</f>
        <v/>
      </c>
      <c r="C23" s="4" t="str">
        <f>IFERROR(AVERAGEIF(#REF!,"&lt;&gt;0"), "")</f>
        <v/>
      </c>
    </row>
    <row r="24" spans="2:3" x14ac:dyDescent="0.45">
      <c r="B24" s="4" t="str">
        <f>IFERROR(AVERAGEIF(#REF!,"&lt;&gt;0"), "")</f>
        <v/>
      </c>
      <c r="C24" s="4" t="str">
        <f>IFERROR(AVERAGEIF(#REF!,"&lt;&gt;0"), "")</f>
        <v/>
      </c>
    </row>
    <row r="25" spans="2:3" x14ac:dyDescent="0.45">
      <c r="B25" s="4" t="str">
        <f>IFERROR(AVERAGEIF(#REF!,"&lt;&gt;0"), "")</f>
        <v/>
      </c>
      <c r="C25" s="4" t="str">
        <f>IFERROR(AVERAGEIF(#REF!,"&lt;&gt;0"), "")</f>
        <v/>
      </c>
    </row>
    <row r="26" spans="2:3" x14ac:dyDescent="0.45">
      <c r="B26" s="4" t="str">
        <f>IFERROR(AVERAGEIF(#REF!,"&lt;&gt;0"), "")</f>
        <v/>
      </c>
      <c r="C26" s="4" t="str">
        <f>IFERROR(AVERAGEIF(#REF!,"&lt;&gt;0"), "")</f>
        <v/>
      </c>
    </row>
    <row r="27" spans="2:3" x14ac:dyDescent="0.45">
      <c r="B27" s="4" t="str">
        <f>IFERROR(AVERAGEIF(#REF!,"&lt;&gt;0"), "")</f>
        <v/>
      </c>
      <c r="C27" s="4" t="str">
        <f>IFERROR(AVERAGEIF(#REF!,"&lt;&gt;0"), "")</f>
        <v/>
      </c>
    </row>
    <row r="28" spans="2:3" x14ac:dyDescent="0.45">
      <c r="B28" s="4" t="str">
        <f>IFERROR(AVERAGEIF(#REF!,"&lt;&gt;0"), "")</f>
        <v/>
      </c>
      <c r="C28" s="4" t="str">
        <f>IFERROR(AVERAGEIF(#REF!,"&lt;&gt;0"), "")</f>
        <v/>
      </c>
    </row>
    <row r="29" spans="2:3" x14ac:dyDescent="0.45">
      <c r="B29" s="4" t="str">
        <f>IFERROR(AVERAGEIF(#REF!,"&lt;&gt;0"), "")</f>
        <v/>
      </c>
      <c r="C29" s="4" t="str">
        <f>IFERROR(AVERAGEIF(#REF!,"&lt;&gt;0"), "")</f>
        <v/>
      </c>
    </row>
    <row r="30" spans="2:3" x14ac:dyDescent="0.45">
      <c r="B30" s="4" t="str">
        <f>IFERROR(AVERAGEIF(#REF!,"&lt;&gt;0"), "")</f>
        <v/>
      </c>
      <c r="C30" s="4" t="str">
        <f>IFERROR(AVERAGEIF(#REF!,"&lt;&gt;0"), "")</f>
        <v/>
      </c>
    </row>
    <row r="31" spans="2:3" x14ac:dyDescent="0.45">
      <c r="B31" s="4" t="str">
        <f>IFERROR(AVERAGEIF(#REF!,"&lt;&gt;0"), "")</f>
        <v/>
      </c>
      <c r="C31" s="4" t="str">
        <f>IFERROR(AVERAGEIF(#REF!,"&lt;&gt;0"), "")</f>
        <v/>
      </c>
    </row>
    <row r="32" spans="2:3" x14ac:dyDescent="0.45">
      <c r="B32" s="4" t="str">
        <f>IFERROR(AVERAGEIF(#REF!,"&lt;&gt;0"), "")</f>
        <v/>
      </c>
      <c r="C32" s="4" t="str">
        <f>IFERROR(AVERAGEIF(#REF!,"&lt;&gt;0"), "")</f>
        <v/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b26ee109-9f27-4dc9-9e63-64f314675ef1}" enabled="1" method="Standard" siteId="{a681154d-dbd3-466d-a3a7-369dd528155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Oil content</vt:lpstr>
      <vt:lpstr>FFA in shea kernels</vt:lpstr>
      <vt:lpstr>M&amp;V in shea kernels</vt:lpstr>
      <vt:lpstr>FFA(CSB)_Youden Plot Points</vt:lpstr>
      <vt:lpstr>M&amp;V(CSB)_Youden Plot Points</vt:lpstr>
      <vt:lpstr>Imp(CSB)_Youden Plot Points</vt:lpstr>
    </vt:vector>
  </TitlesOfParts>
  <Company>Bunge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Griffin Mensah</dc:creator>
  <cp:lastModifiedBy>Griffin Mensah</cp:lastModifiedBy>
  <dcterms:created xsi:type="dcterms:W3CDTF">2026-04-13T19:34:13Z</dcterms:created>
  <dcterms:modified xsi:type="dcterms:W3CDTF">2026-04-13T19:46:24Z</dcterms:modified>
</cp:coreProperties>
</file>